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7E8A935C-8380-4E5F-9438-175EBB5E6281}" xr6:coauthVersionLast="36" xr6:coauthVersionMax="36" xr10:uidLastSave="{00000000-0000-0000-0000-000000000000}"/>
  <bookViews>
    <workbookView xWindow="0" yWindow="0" windowWidth="21600" windowHeight="9405" xr2:uid="{00000000-000D-0000-FFFF-FFFF00000000}"/>
  </bookViews>
  <sheets>
    <sheet name="nupcialidade" sheetId="1" r:id="rId1"/>
    <sheet name="PERGUNTA 1" sheetId="2" r:id="rId2"/>
    <sheet name="PERGUNTA 2" sheetId="3" r:id="rId3"/>
    <sheet name="PERGUNTA 3" sheetId="4" r:id="rId4"/>
    <sheet name="PERGUNTA 4" sheetId="5" r:id="rId5"/>
    <sheet name="PERGUNTA 5" sheetId="6" r:id="rId6"/>
  </sheets>
  <calcPr calcId="191029"/>
</workbook>
</file>

<file path=xl/calcChain.xml><?xml version="1.0" encoding="utf-8"?>
<calcChain xmlns="http://schemas.openxmlformats.org/spreadsheetml/2006/main">
  <c r="B4" i="6" l="1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13" i="4"/>
  <c r="B12" i="4"/>
  <c r="B11" i="4"/>
  <c r="B10" i="4"/>
  <c r="B9" i="4"/>
  <c r="B8" i="4"/>
  <c r="B7" i="4"/>
  <c r="B6" i="4"/>
  <c r="B5" i="4"/>
  <c r="B4" i="4"/>
  <c r="B3" i="4"/>
  <c r="B2" i="4"/>
  <c r="A2" i="3"/>
  <c r="B2" i="2"/>
</calcChain>
</file>

<file path=xl/sharedStrings.xml><?xml version="1.0" encoding="utf-8"?>
<sst xmlns="http://schemas.openxmlformats.org/spreadsheetml/2006/main" count="224" uniqueCount="31">
  <si>
    <t>ano</t>
  </si>
  <si>
    <t>nome_ra</t>
  </si>
  <si>
    <t>casamentos</t>
  </si>
  <si>
    <t>pop_15mais</t>
  </si>
  <si>
    <t>taxa_nupcialidade</t>
  </si>
  <si>
    <t>id_media_homem</t>
  </si>
  <si>
    <t>id_media_mulher</t>
  </si>
  <si>
    <t>RA Araçatuba</t>
  </si>
  <si>
    <t>RA Barretos</t>
  </si>
  <si>
    <t>RA Bauru</t>
  </si>
  <si>
    <t>RA Campinas</t>
  </si>
  <si>
    <t>RA Central</t>
  </si>
  <si>
    <t>RA Franca</t>
  </si>
  <si>
    <t>RA Itapeva</t>
  </si>
  <si>
    <t>RA Marília</t>
  </si>
  <si>
    <t>RA Presidente Prudente</t>
  </si>
  <si>
    <t>RA Registro</t>
  </si>
  <si>
    <t>RA Ribeirão Preto</t>
  </si>
  <si>
    <t>RA Santos</t>
  </si>
  <si>
    <t>RA São José do Rio Preto</t>
  </si>
  <si>
    <t>RA São José dos Campos</t>
  </si>
  <si>
    <t>RA Sorocaba</t>
  </si>
  <si>
    <t>RM São Paulo</t>
  </si>
  <si>
    <t>Quantos casamentos tiveram em São José dos Campos no total?</t>
  </si>
  <si>
    <t>Quantas vezes a taxa de nupcialidade foi maior que 7?</t>
  </si>
  <si>
    <t>Qual a média de idade dos homens por ano?</t>
  </si>
  <si>
    <t>Quais munícipios a idade da mulher era maior que 30 em 2014?</t>
  </si>
  <si>
    <t>Qual porcentagem da população de São Paulo era maior de 15 anos em 2024?</t>
  </si>
  <si>
    <t>POPULAÇÃO TOTAL</t>
  </si>
  <si>
    <t>POPULAÇÃO 15+</t>
  </si>
  <si>
    <t>PORCENTAGEM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</si>
</sst>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theme="2" tint="-0.14999847407452621"/>
        <bgColor rgb="FF434343"/>
      </patternFill>
    </fill>
    <fill>
      <patternFill patternType="solid">
        <fgColor theme="2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8C8C8"/>
      </left>
      <right/>
      <top/>
      <bottom style="thin">
        <color rgb="FFC8C8C8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4" fillId="2" borderId="1" xfId="0" applyFont="1" applyFill="1" applyBorder="1" applyAlignment="1">
      <alignment horizontal="center"/>
    </xf>
    <xf numFmtId="0" fontId="0" fillId="0" borderId="1" xfId="0" applyFont="1" applyBorder="1" applyAlignment="1"/>
    <xf numFmtId="0" fontId="3" fillId="0" borderId="1" xfId="0" applyFont="1" applyBorder="1"/>
    <xf numFmtId="0" fontId="0" fillId="0" borderId="1" xfId="0" applyFont="1" applyBorder="1" applyAlignment="1"/>
    <xf numFmtId="0" fontId="4" fillId="5" borderId="2" xfId="0" applyFont="1" applyFill="1" applyBorder="1"/>
    <xf numFmtId="0" fontId="4" fillId="4" borderId="1" xfId="0" applyFont="1" applyFill="1" applyBorder="1"/>
    <xf numFmtId="0" fontId="3" fillId="0" borderId="1" xfId="0" applyFont="1" applyBorder="1" applyAlignment="1"/>
    <xf numFmtId="3" fontId="0" fillId="0" borderId="1" xfId="0" applyNumberFormat="1" applyFont="1" applyBorder="1" applyAlignment="1"/>
    <xf numFmtId="3" fontId="3" fillId="0" borderId="1" xfId="0" applyNumberFormat="1" applyFont="1" applyBorder="1" applyAlignment="1"/>
    <xf numFmtId="0" fontId="3" fillId="6" borderId="1" xfId="0" applyFont="1" applyFill="1" applyBorder="1" applyAlignment="1"/>
    <xf numFmtId="10" fontId="3" fillId="6" borderId="1" xfId="0" applyNumberFormat="1" applyFont="1" applyFill="1" applyBorder="1"/>
    <xf numFmtId="0" fontId="2" fillId="0" borderId="1" xfId="0" applyFont="1" applyBorder="1"/>
    <xf numFmtId="3" fontId="4" fillId="0" borderId="1" xfId="0" applyNumberFormat="1" applyFont="1" applyBorder="1"/>
    <xf numFmtId="0" fontId="3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</cellXfs>
  <cellStyles count="1">
    <cellStyle name="Normal" xfId="0" builtinId="0"/>
  </cellStyles>
  <dxfs count="18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6"/>
          <bgColor theme="6"/>
        </patternFill>
      </fill>
    </dxf>
  </dxfs>
  <tableStyles count="2">
    <tableStyle name="nupcialidade-style" pivot="0" count="3" xr9:uid="{00000000-0011-0000-FFFF-FFFF00000000}">
      <tableStyleElement type="headerRow" dxfId="17"/>
      <tableStyleElement type="firstRowStripe" dxfId="16"/>
      <tableStyleElement type="secondRowStripe" dxfId="15"/>
    </tableStyle>
    <tableStyle name="PERGUNTA 4-style" pivot="0" count="2" xr9:uid="{00000000-0011-0000-FFFF-FFFF01000000}"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93" headerRowDxfId="1" totalsRowDxfId="0">
  <tableColumns count="7">
    <tableColumn id="1" xr3:uid="{00000000-0010-0000-0000-000001000000}" name="ano" dataDxfId="8"/>
    <tableColumn id="2" xr3:uid="{00000000-0010-0000-0000-000002000000}" name="nome_ra" dataDxfId="7"/>
    <tableColumn id="3" xr3:uid="{00000000-0010-0000-0000-000003000000}" name="casamentos" dataDxfId="6"/>
    <tableColumn id="4" xr3:uid="{00000000-0010-0000-0000-000004000000}" name="pop_15mais" dataDxfId="5"/>
    <tableColumn id="5" xr3:uid="{00000000-0010-0000-0000-000005000000}" name="taxa_nupcialidade" dataDxfId="4"/>
    <tableColumn id="6" xr3:uid="{00000000-0010-0000-0000-000006000000}" name="id_media_homem" dataDxfId="3"/>
    <tableColumn id="7" xr3:uid="{00000000-0010-0000-0000-000007000000}" name="id_media_mulher" dataDxfId="2"/>
  </tableColumns>
  <tableStyleInfo name="nupcialidad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:B17" headerRowCount="0" headerRowDxfId="10" totalsRowDxfId="9">
  <tableColumns count="2">
    <tableColumn id="1" xr3:uid="{00000000-0010-0000-0100-000001000000}" name="Column1" dataDxfId="12"/>
    <tableColumn id="2" xr3:uid="{00000000-0010-0000-0100-000002000000}" name="Column2" dataDxfId="11"/>
  </tableColumns>
  <tableStyleInfo name="PERGUNTA 4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H8" sqref="H8"/>
    </sheetView>
  </sheetViews>
  <sheetFormatPr defaultColWidth="14.42578125" defaultRowHeight="15" customHeight="1" x14ac:dyDescent="0.25"/>
  <cols>
    <col min="1" max="1" width="6.5703125" style="4" customWidth="1"/>
    <col min="2" max="2" width="23" style="4" customWidth="1"/>
    <col min="3" max="3" width="13.7109375" style="4" customWidth="1"/>
    <col min="4" max="4" width="13.42578125" style="4" customWidth="1"/>
    <col min="5" max="6" width="19.7109375" style="4" customWidth="1"/>
    <col min="7" max="7" width="19.140625" style="4" customWidth="1"/>
    <col min="8" max="26" width="8.7109375" customWidth="1"/>
  </cols>
  <sheetData>
    <row r="1" spans="1:7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 x14ac:dyDescent="0.25">
      <c r="A2" s="3">
        <v>2013</v>
      </c>
      <c r="B2" s="3" t="s">
        <v>7</v>
      </c>
      <c r="C2" s="13">
        <v>4960</v>
      </c>
      <c r="D2" s="13">
        <v>607493</v>
      </c>
      <c r="E2" s="3">
        <v>8.1999999999999993</v>
      </c>
      <c r="F2" s="3">
        <v>32.799999999999997</v>
      </c>
      <c r="G2" s="3">
        <v>30.1</v>
      </c>
    </row>
    <row r="3" spans="1:7" x14ac:dyDescent="0.25">
      <c r="A3" s="3">
        <v>2013</v>
      </c>
      <c r="B3" s="3" t="s">
        <v>8</v>
      </c>
      <c r="C3" s="13">
        <v>3028</v>
      </c>
      <c r="D3" s="13">
        <v>341999</v>
      </c>
      <c r="E3" s="3">
        <v>8.9</v>
      </c>
      <c r="F3" s="3">
        <v>32.200000000000003</v>
      </c>
      <c r="G3" s="3">
        <v>29.4</v>
      </c>
    </row>
    <row r="4" spans="1:7" x14ac:dyDescent="0.25">
      <c r="A4" s="3">
        <v>2013</v>
      </c>
      <c r="B4" s="3" t="s">
        <v>9</v>
      </c>
      <c r="C4" s="13">
        <v>7491</v>
      </c>
      <c r="D4" s="13">
        <v>857661</v>
      </c>
      <c r="E4" s="3">
        <v>8.6999999999999993</v>
      </c>
      <c r="F4" s="3">
        <v>32.6</v>
      </c>
      <c r="G4" s="3">
        <v>29.9</v>
      </c>
    </row>
    <row r="5" spans="1:7" x14ac:dyDescent="0.25">
      <c r="A5" s="3">
        <v>2013</v>
      </c>
      <c r="B5" s="3" t="s">
        <v>10</v>
      </c>
      <c r="C5" s="13">
        <v>44199</v>
      </c>
      <c r="D5" s="13">
        <v>5167096</v>
      </c>
      <c r="E5" s="3">
        <v>8.6</v>
      </c>
      <c r="F5" s="3">
        <v>32.299999999999997</v>
      </c>
      <c r="G5" s="3">
        <v>29.6</v>
      </c>
    </row>
    <row r="6" spans="1:7" x14ac:dyDescent="0.25">
      <c r="A6" s="3">
        <v>2013</v>
      </c>
      <c r="B6" s="3" t="s">
        <v>11</v>
      </c>
      <c r="C6" s="13">
        <v>6928</v>
      </c>
      <c r="D6" s="13">
        <v>784013</v>
      </c>
      <c r="E6" s="3">
        <v>8.8000000000000007</v>
      </c>
      <c r="F6" s="3">
        <v>32.799999999999997</v>
      </c>
      <c r="G6" s="3">
        <v>30.1</v>
      </c>
    </row>
    <row r="7" spans="1:7" x14ac:dyDescent="0.25">
      <c r="A7" s="3">
        <v>2013</v>
      </c>
      <c r="B7" s="3" t="s">
        <v>12</v>
      </c>
      <c r="C7" s="13">
        <v>4583</v>
      </c>
      <c r="D7" s="13">
        <v>565832</v>
      </c>
      <c r="E7" s="3">
        <v>8.1</v>
      </c>
      <c r="F7" s="3">
        <v>31.7</v>
      </c>
      <c r="G7" s="3">
        <v>28.9</v>
      </c>
    </row>
    <row r="8" spans="1:7" x14ac:dyDescent="0.25">
      <c r="A8" s="3">
        <v>2013</v>
      </c>
      <c r="B8" s="3" t="s">
        <v>13</v>
      </c>
      <c r="C8" s="13">
        <v>3743</v>
      </c>
      <c r="D8" s="13">
        <v>395751</v>
      </c>
      <c r="E8" s="3">
        <v>9.5</v>
      </c>
      <c r="F8" s="3">
        <v>32.6</v>
      </c>
      <c r="G8" s="3">
        <v>28.9</v>
      </c>
    </row>
    <row r="9" spans="1:7" x14ac:dyDescent="0.25">
      <c r="A9" s="3">
        <v>2013</v>
      </c>
      <c r="B9" s="3" t="s">
        <v>14</v>
      </c>
      <c r="C9" s="13">
        <v>6216</v>
      </c>
      <c r="D9" s="13">
        <v>762427</v>
      </c>
      <c r="E9" s="3">
        <v>8.1999999999999993</v>
      </c>
      <c r="F9" s="3">
        <v>32.9</v>
      </c>
      <c r="G9" s="3">
        <v>29.9</v>
      </c>
    </row>
    <row r="10" spans="1:7" x14ac:dyDescent="0.25">
      <c r="A10" s="3">
        <v>2013</v>
      </c>
      <c r="B10" s="3" t="s">
        <v>15</v>
      </c>
      <c r="C10" s="13">
        <v>5860</v>
      </c>
      <c r="D10" s="13">
        <v>680722</v>
      </c>
      <c r="E10" s="3">
        <v>8.6</v>
      </c>
      <c r="F10" s="3">
        <v>33.1</v>
      </c>
      <c r="G10" s="3">
        <v>29.8</v>
      </c>
    </row>
    <row r="11" spans="1:7" x14ac:dyDescent="0.25">
      <c r="A11" s="3">
        <v>2013</v>
      </c>
      <c r="B11" s="3" t="s">
        <v>16</v>
      </c>
      <c r="C11" s="13">
        <v>1738</v>
      </c>
      <c r="D11" s="13">
        <v>203799</v>
      </c>
      <c r="E11" s="3">
        <v>8.5</v>
      </c>
      <c r="F11" s="3">
        <v>34.700000000000003</v>
      </c>
      <c r="G11" s="3">
        <v>30.8</v>
      </c>
    </row>
    <row r="12" spans="1:7" x14ac:dyDescent="0.25">
      <c r="A12" s="3">
        <v>2013</v>
      </c>
      <c r="B12" s="3" t="s">
        <v>17</v>
      </c>
      <c r="C12" s="13">
        <v>7967</v>
      </c>
      <c r="D12" s="13">
        <v>1026781</v>
      </c>
      <c r="E12" s="3">
        <v>7.8</v>
      </c>
      <c r="F12" s="3">
        <v>32.200000000000003</v>
      </c>
      <c r="G12" s="3">
        <v>29.5</v>
      </c>
    </row>
    <row r="13" spans="1:7" x14ac:dyDescent="0.25">
      <c r="A13" s="3">
        <v>2013</v>
      </c>
      <c r="B13" s="3" t="s">
        <v>18</v>
      </c>
      <c r="C13" s="13">
        <v>10455</v>
      </c>
      <c r="D13" s="13">
        <v>1346732</v>
      </c>
      <c r="E13" s="3">
        <v>7.8</v>
      </c>
      <c r="F13" s="3">
        <v>34.5</v>
      </c>
      <c r="G13" s="3">
        <v>31.4</v>
      </c>
    </row>
    <row r="14" spans="1:7" x14ac:dyDescent="0.25">
      <c r="A14" s="3">
        <v>2013</v>
      </c>
      <c r="B14" s="3" t="s">
        <v>19</v>
      </c>
      <c r="C14" s="13">
        <v>9948</v>
      </c>
      <c r="D14" s="13">
        <v>1211531</v>
      </c>
      <c r="E14" s="3">
        <v>8.1999999999999993</v>
      </c>
      <c r="F14" s="3">
        <v>32.9</v>
      </c>
      <c r="G14" s="3">
        <v>29.9</v>
      </c>
    </row>
    <row r="15" spans="1:7" x14ac:dyDescent="0.25">
      <c r="A15" s="3">
        <v>2013</v>
      </c>
      <c r="B15" s="3" t="s">
        <v>20</v>
      </c>
      <c r="C15" s="13">
        <v>17246</v>
      </c>
      <c r="D15" s="13">
        <v>1833832</v>
      </c>
      <c r="E15" s="3">
        <v>9.4</v>
      </c>
      <c r="F15" s="3">
        <v>32.700000000000003</v>
      </c>
      <c r="G15" s="3">
        <v>29.7</v>
      </c>
    </row>
    <row r="16" spans="1:7" x14ac:dyDescent="0.25">
      <c r="A16" s="3">
        <v>2013</v>
      </c>
      <c r="B16" s="3" t="s">
        <v>21</v>
      </c>
      <c r="C16" s="13">
        <v>17414</v>
      </c>
      <c r="D16" s="13">
        <v>1872085</v>
      </c>
      <c r="E16" s="3">
        <v>9.3000000000000007</v>
      </c>
      <c r="F16" s="3">
        <v>32.6</v>
      </c>
      <c r="G16" s="3">
        <v>29.8</v>
      </c>
    </row>
    <row r="17" spans="1:7" x14ac:dyDescent="0.25">
      <c r="A17" s="3">
        <v>2013</v>
      </c>
      <c r="B17" s="3" t="s">
        <v>22</v>
      </c>
      <c r="C17" s="13">
        <v>128560</v>
      </c>
      <c r="D17" s="13">
        <v>15820757</v>
      </c>
      <c r="E17" s="3">
        <v>8.1</v>
      </c>
      <c r="F17" s="3">
        <v>32.799999999999997</v>
      </c>
      <c r="G17" s="3">
        <v>30.1</v>
      </c>
    </row>
    <row r="18" spans="1:7" x14ac:dyDescent="0.25">
      <c r="A18" s="3">
        <v>2014</v>
      </c>
      <c r="B18" s="3" t="s">
        <v>7</v>
      </c>
      <c r="C18" s="13">
        <v>5294</v>
      </c>
      <c r="D18" s="13">
        <v>612468</v>
      </c>
      <c r="E18" s="3">
        <v>8.6</v>
      </c>
      <c r="F18" s="3">
        <v>33.5</v>
      </c>
      <c r="G18" s="3">
        <v>30.6</v>
      </c>
    </row>
    <row r="19" spans="1:7" x14ac:dyDescent="0.25">
      <c r="A19" s="3">
        <v>2014</v>
      </c>
      <c r="B19" s="3" t="s">
        <v>8</v>
      </c>
      <c r="C19" s="13">
        <v>3372</v>
      </c>
      <c r="D19" s="13">
        <v>344548</v>
      </c>
      <c r="E19" s="3">
        <v>9.8000000000000007</v>
      </c>
      <c r="F19" s="3">
        <v>33</v>
      </c>
      <c r="G19" s="3">
        <v>30.2</v>
      </c>
    </row>
    <row r="20" spans="1:7" x14ac:dyDescent="0.25">
      <c r="A20" s="3">
        <v>2014</v>
      </c>
      <c r="B20" s="3" t="s">
        <v>9</v>
      </c>
      <c r="C20" s="13">
        <v>7923</v>
      </c>
      <c r="D20" s="13">
        <v>865152</v>
      </c>
      <c r="E20" s="3">
        <v>9.1999999999999993</v>
      </c>
      <c r="F20" s="3">
        <v>32.799999999999997</v>
      </c>
      <c r="G20" s="3">
        <v>30.1</v>
      </c>
    </row>
    <row r="21" spans="1:7" ht="15.75" customHeight="1" x14ac:dyDescent="0.25">
      <c r="A21" s="3">
        <v>2014</v>
      </c>
      <c r="B21" s="3" t="s">
        <v>10</v>
      </c>
      <c r="C21" s="13">
        <v>47206</v>
      </c>
      <c r="D21" s="13">
        <v>5239330</v>
      </c>
      <c r="E21" s="3">
        <v>9</v>
      </c>
      <c r="F21" s="3">
        <v>32.4</v>
      </c>
      <c r="G21" s="3">
        <v>29.7</v>
      </c>
    </row>
    <row r="22" spans="1:7" ht="15.75" customHeight="1" x14ac:dyDescent="0.25">
      <c r="A22" s="3">
        <v>2014</v>
      </c>
      <c r="B22" s="3" t="s">
        <v>11</v>
      </c>
      <c r="C22" s="13">
        <v>7317</v>
      </c>
      <c r="D22" s="13">
        <v>791886</v>
      </c>
      <c r="E22" s="3">
        <v>9.1999999999999993</v>
      </c>
      <c r="F22" s="3">
        <v>33.1</v>
      </c>
      <c r="G22" s="3">
        <v>30.4</v>
      </c>
    </row>
    <row r="23" spans="1:7" ht="15.75" customHeight="1" x14ac:dyDescent="0.25">
      <c r="A23" s="3">
        <v>2014</v>
      </c>
      <c r="B23" s="3" t="s">
        <v>12</v>
      </c>
      <c r="C23" s="13">
        <v>5034</v>
      </c>
      <c r="D23" s="13">
        <v>571096</v>
      </c>
      <c r="E23" s="3">
        <v>8.8000000000000007</v>
      </c>
      <c r="F23" s="3">
        <v>32.5</v>
      </c>
      <c r="G23" s="3">
        <v>29.5</v>
      </c>
    </row>
    <row r="24" spans="1:7" ht="15.75" customHeight="1" x14ac:dyDescent="0.25">
      <c r="A24" s="3">
        <v>2014</v>
      </c>
      <c r="B24" s="3" t="s">
        <v>13</v>
      </c>
      <c r="C24" s="13">
        <v>3753</v>
      </c>
      <c r="D24" s="13">
        <v>399216</v>
      </c>
      <c r="E24" s="3">
        <v>9.4</v>
      </c>
      <c r="F24" s="3">
        <v>32.799999999999997</v>
      </c>
      <c r="G24" s="3">
        <v>29.1</v>
      </c>
    </row>
    <row r="25" spans="1:7" ht="15.75" customHeight="1" x14ac:dyDescent="0.25">
      <c r="A25" s="3">
        <v>2014</v>
      </c>
      <c r="B25" s="3" t="s">
        <v>14</v>
      </c>
      <c r="C25" s="13">
        <v>6512</v>
      </c>
      <c r="D25" s="13">
        <v>767472</v>
      </c>
      <c r="E25" s="3">
        <v>8.5</v>
      </c>
      <c r="F25" s="3">
        <v>33.200000000000003</v>
      </c>
      <c r="G25" s="3">
        <v>30.3</v>
      </c>
    </row>
    <row r="26" spans="1:7" ht="15.75" customHeight="1" x14ac:dyDescent="0.25">
      <c r="A26" s="3">
        <v>2014</v>
      </c>
      <c r="B26" s="3" t="s">
        <v>15</v>
      </c>
      <c r="C26" s="13">
        <v>6055</v>
      </c>
      <c r="D26" s="13">
        <v>685434</v>
      </c>
      <c r="E26" s="3">
        <v>8.8000000000000007</v>
      </c>
      <c r="F26" s="3">
        <v>33.200000000000003</v>
      </c>
      <c r="G26" s="3">
        <v>30.3</v>
      </c>
    </row>
    <row r="27" spans="1:7" ht="15.75" customHeight="1" x14ac:dyDescent="0.25">
      <c r="A27" s="3">
        <v>2014</v>
      </c>
      <c r="B27" s="3" t="s">
        <v>16</v>
      </c>
      <c r="C27" s="13">
        <v>1823</v>
      </c>
      <c r="D27" s="13">
        <v>205755</v>
      </c>
      <c r="E27" s="3">
        <v>8.9</v>
      </c>
      <c r="F27" s="3">
        <v>34.700000000000003</v>
      </c>
      <c r="G27" s="3">
        <v>30.9</v>
      </c>
    </row>
    <row r="28" spans="1:7" ht="15.75" customHeight="1" x14ac:dyDescent="0.25">
      <c r="A28" s="3">
        <v>2014</v>
      </c>
      <c r="B28" s="3" t="s">
        <v>17</v>
      </c>
      <c r="C28" s="13">
        <v>8756</v>
      </c>
      <c r="D28" s="13">
        <v>1040343</v>
      </c>
      <c r="E28" s="3">
        <v>8.4</v>
      </c>
      <c r="F28" s="3">
        <v>32.9</v>
      </c>
      <c r="G28" s="3">
        <v>30.2</v>
      </c>
    </row>
    <row r="29" spans="1:7" ht="15.75" customHeight="1" x14ac:dyDescent="0.25">
      <c r="A29" s="3">
        <v>2014</v>
      </c>
      <c r="B29" s="3" t="s">
        <v>18</v>
      </c>
      <c r="C29" s="13">
        <v>11377</v>
      </c>
      <c r="D29" s="13">
        <v>1363731</v>
      </c>
      <c r="E29" s="3">
        <v>8.3000000000000007</v>
      </c>
      <c r="F29" s="3">
        <v>34.799999999999997</v>
      </c>
      <c r="G29" s="3">
        <v>31.8</v>
      </c>
    </row>
    <row r="30" spans="1:7" ht="15.75" customHeight="1" x14ac:dyDescent="0.25">
      <c r="A30" s="3">
        <v>2014</v>
      </c>
      <c r="B30" s="3" t="s">
        <v>19</v>
      </c>
      <c r="C30" s="13">
        <v>10480</v>
      </c>
      <c r="D30" s="13">
        <v>1226344</v>
      </c>
      <c r="E30" s="3">
        <v>8.6</v>
      </c>
      <c r="F30" s="3">
        <v>33</v>
      </c>
      <c r="G30" s="3">
        <v>30.3</v>
      </c>
    </row>
    <row r="31" spans="1:7" ht="15.75" customHeight="1" x14ac:dyDescent="0.25">
      <c r="A31" s="3">
        <v>2014</v>
      </c>
      <c r="B31" s="3" t="s">
        <v>20</v>
      </c>
      <c r="C31" s="13">
        <v>17467</v>
      </c>
      <c r="D31" s="13">
        <v>1858620</v>
      </c>
      <c r="E31" s="3">
        <v>9.4</v>
      </c>
      <c r="F31" s="3">
        <v>32.700000000000003</v>
      </c>
      <c r="G31" s="3">
        <v>29.7</v>
      </c>
    </row>
    <row r="32" spans="1:7" ht="15.75" customHeight="1" x14ac:dyDescent="0.25">
      <c r="A32" s="3">
        <v>2014</v>
      </c>
      <c r="B32" s="3" t="s">
        <v>21</v>
      </c>
      <c r="C32" s="13">
        <v>18506</v>
      </c>
      <c r="D32" s="13">
        <v>1903723</v>
      </c>
      <c r="E32" s="3">
        <v>9.6999999999999993</v>
      </c>
      <c r="F32" s="3">
        <v>32.799999999999997</v>
      </c>
      <c r="G32" s="3">
        <v>29.9</v>
      </c>
    </row>
    <row r="33" spans="1:7" ht="15.75" customHeight="1" x14ac:dyDescent="0.25">
      <c r="A33" s="3">
        <v>2014</v>
      </c>
      <c r="B33" s="3" t="s">
        <v>22</v>
      </c>
      <c r="C33" s="13">
        <v>136602</v>
      </c>
      <c r="D33" s="13">
        <v>15976268</v>
      </c>
      <c r="E33" s="3">
        <v>8.6</v>
      </c>
      <c r="F33" s="3">
        <v>33</v>
      </c>
      <c r="G33" s="3">
        <v>30.4</v>
      </c>
    </row>
    <row r="34" spans="1:7" ht="15.75" customHeight="1" x14ac:dyDescent="0.25">
      <c r="A34" s="3">
        <v>2015</v>
      </c>
      <c r="B34" s="3" t="s">
        <v>7</v>
      </c>
      <c r="C34" s="13">
        <v>5207</v>
      </c>
      <c r="D34" s="13">
        <v>617434</v>
      </c>
      <c r="E34" s="3">
        <v>8.4</v>
      </c>
      <c r="F34" s="3">
        <v>34</v>
      </c>
      <c r="G34" s="3">
        <v>31</v>
      </c>
    </row>
    <row r="35" spans="1:7" ht="15.75" customHeight="1" x14ac:dyDescent="0.25">
      <c r="A35" s="3">
        <v>2015</v>
      </c>
      <c r="B35" s="3" t="s">
        <v>8</v>
      </c>
      <c r="C35" s="13">
        <v>3380</v>
      </c>
      <c r="D35" s="13">
        <v>347141</v>
      </c>
      <c r="E35" s="3">
        <v>9.6999999999999993</v>
      </c>
      <c r="F35" s="3">
        <v>33.1</v>
      </c>
      <c r="G35" s="3">
        <v>30.3</v>
      </c>
    </row>
    <row r="36" spans="1:7" ht="15.75" customHeight="1" x14ac:dyDescent="0.25">
      <c r="A36" s="3">
        <v>2015</v>
      </c>
      <c r="B36" s="3" t="s">
        <v>9</v>
      </c>
      <c r="C36" s="13">
        <v>8250</v>
      </c>
      <c r="D36" s="13">
        <v>872707</v>
      </c>
      <c r="E36" s="3">
        <v>9.5</v>
      </c>
      <c r="F36" s="3">
        <v>33.299999999999997</v>
      </c>
      <c r="G36" s="3">
        <v>30.7</v>
      </c>
    </row>
    <row r="37" spans="1:7" ht="15.75" customHeight="1" x14ac:dyDescent="0.25">
      <c r="A37" s="3">
        <v>2015</v>
      </c>
      <c r="B37" s="3" t="s">
        <v>10</v>
      </c>
      <c r="C37" s="13">
        <v>49109</v>
      </c>
      <c r="D37" s="13">
        <v>5313228</v>
      </c>
      <c r="E37" s="3">
        <v>9.1999999999999993</v>
      </c>
      <c r="F37" s="3">
        <v>32.700000000000003</v>
      </c>
      <c r="G37" s="3">
        <v>30</v>
      </c>
    </row>
    <row r="38" spans="1:7" ht="15.75" customHeight="1" x14ac:dyDescent="0.25">
      <c r="A38" s="3">
        <v>2015</v>
      </c>
      <c r="B38" s="3" t="s">
        <v>11</v>
      </c>
      <c r="C38" s="13">
        <v>7543</v>
      </c>
      <c r="D38" s="13">
        <v>799825</v>
      </c>
      <c r="E38" s="3">
        <v>9.4</v>
      </c>
      <c r="F38" s="3">
        <v>33.4</v>
      </c>
      <c r="G38" s="3">
        <v>30.7</v>
      </c>
    </row>
    <row r="39" spans="1:7" ht="15.75" customHeight="1" x14ac:dyDescent="0.25">
      <c r="A39" s="3">
        <v>2015</v>
      </c>
      <c r="B39" s="3" t="s">
        <v>12</v>
      </c>
      <c r="C39" s="13">
        <v>4757</v>
      </c>
      <c r="D39" s="13">
        <v>576557</v>
      </c>
      <c r="E39" s="3">
        <v>8.3000000000000007</v>
      </c>
      <c r="F39" s="3">
        <v>32.4</v>
      </c>
      <c r="G39" s="3">
        <v>29.6</v>
      </c>
    </row>
    <row r="40" spans="1:7" ht="15.75" customHeight="1" x14ac:dyDescent="0.25">
      <c r="A40" s="3">
        <v>2015</v>
      </c>
      <c r="B40" s="3" t="s">
        <v>13</v>
      </c>
      <c r="C40" s="13">
        <v>3805</v>
      </c>
      <c r="D40" s="13">
        <v>402682</v>
      </c>
      <c r="E40" s="3">
        <v>9.5</v>
      </c>
      <c r="F40" s="3">
        <v>33</v>
      </c>
      <c r="G40" s="3">
        <v>29.1</v>
      </c>
    </row>
    <row r="41" spans="1:7" ht="15.75" customHeight="1" x14ac:dyDescent="0.25">
      <c r="A41" s="3">
        <v>2015</v>
      </c>
      <c r="B41" s="3" t="s">
        <v>14</v>
      </c>
      <c r="C41" s="13">
        <v>6721</v>
      </c>
      <c r="D41" s="13">
        <v>772667</v>
      </c>
      <c r="E41" s="3">
        <v>8.6999999999999993</v>
      </c>
      <c r="F41" s="3">
        <v>33.4</v>
      </c>
      <c r="G41" s="3">
        <v>30.6</v>
      </c>
    </row>
    <row r="42" spans="1:7" ht="15.75" customHeight="1" x14ac:dyDescent="0.25">
      <c r="A42" s="3">
        <v>2015</v>
      </c>
      <c r="B42" s="3" t="s">
        <v>15</v>
      </c>
      <c r="C42" s="13">
        <v>5971</v>
      </c>
      <c r="D42" s="13">
        <v>690211</v>
      </c>
      <c r="E42" s="3">
        <v>8.6999999999999993</v>
      </c>
      <c r="F42" s="3">
        <v>33.1</v>
      </c>
      <c r="G42" s="3">
        <v>30.4</v>
      </c>
    </row>
    <row r="43" spans="1:7" ht="15.75" customHeight="1" x14ac:dyDescent="0.25">
      <c r="A43" s="3">
        <v>2015</v>
      </c>
      <c r="B43" s="3" t="s">
        <v>16</v>
      </c>
      <c r="C43" s="13">
        <v>1986</v>
      </c>
      <c r="D43" s="13">
        <v>207757</v>
      </c>
      <c r="E43" s="3">
        <v>9.6</v>
      </c>
      <c r="F43" s="3">
        <v>35.4</v>
      </c>
      <c r="G43" s="3">
        <v>31.7</v>
      </c>
    </row>
    <row r="44" spans="1:7" ht="15.75" customHeight="1" x14ac:dyDescent="0.25">
      <c r="A44" s="3">
        <v>2015</v>
      </c>
      <c r="B44" s="3" t="s">
        <v>17</v>
      </c>
      <c r="C44" s="13">
        <v>8783</v>
      </c>
      <c r="D44" s="13">
        <v>1054289</v>
      </c>
      <c r="E44" s="3">
        <v>8.3000000000000007</v>
      </c>
      <c r="F44" s="3">
        <v>32.799999999999997</v>
      </c>
      <c r="G44" s="3">
        <v>30.3</v>
      </c>
    </row>
    <row r="45" spans="1:7" ht="15.75" customHeight="1" x14ac:dyDescent="0.25">
      <c r="A45" s="3">
        <v>2015</v>
      </c>
      <c r="B45" s="3" t="s">
        <v>18</v>
      </c>
      <c r="C45" s="13">
        <v>11758</v>
      </c>
      <c r="D45" s="13">
        <v>1380852</v>
      </c>
      <c r="E45" s="3">
        <v>8.5</v>
      </c>
      <c r="F45" s="3">
        <v>35.200000000000003</v>
      </c>
      <c r="G45" s="3">
        <v>32.1</v>
      </c>
    </row>
    <row r="46" spans="1:7" ht="15.75" customHeight="1" x14ac:dyDescent="0.25">
      <c r="A46" s="3">
        <v>2015</v>
      </c>
      <c r="B46" s="3" t="s">
        <v>19</v>
      </c>
      <c r="C46" s="13">
        <v>10450</v>
      </c>
      <c r="D46" s="13">
        <v>1241452</v>
      </c>
      <c r="E46" s="3">
        <v>8.4</v>
      </c>
      <c r="F46" s="3">
        <v>33.1</v>
      </c>
      <c r="G46" s="3">
        <v>30.4</v>
      </c>
    </row>
    <row r="47" spans="1:7" ht="15.75" customHeight="1" x14ac:dyDescent="0.25">
      <c r="A47" s="3">
        <v>2015</v>
      </c>
      <c r="B47" s="3" t="s">
        <v>20</v>
      </c>
      <c r="C47" s="13">
        <v>18141</v>
      </c>
      <c r="D47" s="13">
        <v>1883731</v>
      </c>
      <c r="E47" s="3">
        <v>9.6</v>
      </c>
      <c r="F47" s="3">
        <v>33.1</v>
      </c>
      <c r="G47" s="3">
        <v>30.2</v>
      </c>
    </row>
    <row r="48" spans="1:7" ht="15.75" customHeight="1" x14ac:dyDescent="0.25">
      <c r="A48" s="3">
        <v>2015</v>
      </c>
      <c r="B48" s="3" t="s">
        <v>21</v>
      </c>
      <c r="C48" s="13">
        <v>18885</v>
      </c>
      <c r="D48" s="13">
        <v>1936062</v>
      </c>
      <c r="E48" s="3">
        <v>9.8000000000000007</v>
      </c>
      <c r="F48" s="3">
        <v>32.799999999999997</v>
      </c>
      <c r="G48" s="3">
        <v>30.1</v>
      </c>
    </row>
    <row r="49" spans="1:7" ht="15.75" customHeight="1" x14ac:dyDescent="0.25">
      <c r="A49" s="3">
        <v>2015</v>
      </c>
      <c r="B49" s="3" t="s">
        <v>22</v>
      </c>
      <c r="C49" s="13">
        <v>140645</v>
      </c>
      <c r="D49" s="13">
        <v>16135445</v>
      </c>
      <c r="E49" s="3">
        <v>8.6999999999999993</v>
      </c>
      <c r="F49" s="3">
        <v>33.1</v>
      </c>
      <c r="G49" s="3">
        <v>30.5</v>
      </c>
    </row>
    <row r="50" spans="1:7" ht="15.75" customHeight="1" x14ac:dyDescent="0.25">
      <c r="A50" s="3">
        <v>2016</v>
      </c>
      <c r="B50" s="3" t="s">
        <v>7</v>
      </c>
      <c r="C50" s="13">
        <v>5184</v>
      </c>
      <c r="D50" s="13">
        <v>622044</v>
      </c>
      <c r="E50" s="3">
        <v>8.3000000000000007</v>
      </c>
      <c r="F50" s="3">
        <v>34.1</v>
      </c>
      <c r="G50" s="3">
        <v>31.3</v>
      </c>
    </row>
    <row r="51" spans="1:7" ht="15.75" customHeight="1" x14ac:dyDescent="0.25">
      <c r="A51" s="3">
        <v>2016</v>
      </c>
      <c r="B51" s="3" t="s">
        <v>8</v>
      </c>
      <c r="C51" s="13">
        <v>3117</v>
      </c>
      <c r="D51" s="13">
        <v>349512</v>
      </c>
      <c r="E51" s="3">
        <v>8.9</v>
      </c>
      <c r="F51" s="3">
        <v>33.4</v>
      </c>
      <c r="G51" s="3">
        <v>30.7</v>
      </c>
    </row>
    <row r="52" spans="1:7" ht="15.75" customHeight="1" x14ac:dyDescent="0.25">
      <c r="A52" s="3">
        <v>2016</v>
      </c>
      <c r="B52" s="3" t="s">
        <v>9</v>
      </c>
      <c r="C52" s="13">
        <v>7883</v>
      </c>
      <c r="D52" s="13">
        <v>879912</v>
      </c>
      <c r="E52" s="3">
        <v>9</v>
      </c>
      <c r="F52" s="3">
        <v>33.6</v>
      </c>
      <c r="G52" s="3">
        <v>31</v>
      </c>
    </row>
    <row r="53" spans="1:7" ht="15.75" customHeight="1" x14ac:dyDescent="0.25">
      <c r="A53" s="3">
        <v>2016</v>
      </c>
      <c r="B53" s="3" t="s">
        <v>10</v>
      </c>
      <c r="C53" s="13">
        <v>47778</v>
      </c>
      <c r="D53" s="13">
        <v>5386264</v>
      </c>
      <c r="E53" s="3">
        <v>8.9</v>
      </c>
      <c r="F53" s="3">
        <v>33.1</v>
      </c>
      <c r="G53" s="3">
        <v>30.5</v>
      </c>
    </row>
    <row r="54" spans="1:7" ht="15.75" customHeight="1" x14ac:dyDescent="0.25">
      <c r="A54" s="3">
        <v>2016</v>
      </c>
      <c r="B54" s="3" t="s">
        <v>11</v>
      </c>
      <c r="C54" s="13">
        <v>7152</v>
      </c>
      <c r="D54" s="13">
        <v>807410</v>
      </c>
      <c r="E54" s="3">
        <v>8.9</v>
      </c>
      <c r="F54" s="3">
        <v>33.799999999999997</v>
      </c>
      <c r="G54" s="3">
        <v>31.2</v>
      </c>
    </row>
    <row r="55" spans="1:7" ht="15.75" customHeight="1" x14ac:dyDescent="0.25">
      <c r="A55" s="3">
        <v>2016</v>
      </c>
      <c r="B55" s="3" t="s">
        <v>12</v>
      </c>
      <c r="C55" s="13">
        <v>4619</v>
      </c>
      <c r="D55" s="13">
        <v>581847</v>
      </c>
      <c r="E55" s="3">
        <v>7.9</v>
      </c>
      <c r="F55" s="3">
        <v>32.799999999999997</v>
      </c>
      <c r="G55" s="3">
        <v>30.2</v>
      </c>
    </row>
    <row r="56" spans="1:7" ht="15.75" customHeight="1" x14ac:dyDescent="0.25">
      <c r="A56" s="3">
        <v>2016</v>
      </c>
      <c r="B56" s="3" t="s">
        <v>13</v>
      </c>
      <c r="C56" s="13">
        <v>3554</v>
      </c>
      <c r="D56" s="13">
        <v>405987</v>
      </c>
      <c r="E56" s="3">
        <v>8.8000000000000007</v>
      </c>
      <c r="F56" s="3">
        <v>33.299999999999997</v>
      </c>
      <c r="G56" s="3">
        <v>29.7</v>
      </c>
    </row>
    <row r="57" spans="1:7" ht="15.75" customHeight="1" x14ac:dyDescent="0.25">
      <c r="A57" s="3">
        <v>2016</v>
      </c>
      <c r="B57" s="3" t="s">
        <v>14</v>
      </c>
      <c r="C57" s="13">
        <v>6588</v>
      </c>
      <c r="D57" s="13">
        <v>777634</v>
      </c>
      <c r="E57" s="3">
        <v>8.5</v>
      </c>
      <c r="F57" s="3">
        <v>33.799999999999997</v>
      </c>
      <c r="G57" s="3">
        <v>31</v>
      </c>
    </row>
    <row r="58" spans="1:7" ht="15.75" customHeight="1" x14ac:dyDescent="0.25">
      <c r="A58" s="3">
        <v>2016</v>
      </c>
      <c r="B58" s="3" t="s">
        <v>15</v>
      </c>
      <c r="C58" s="13">
        <v>5870</v>
      </c>
      <c r="D58" s="13">
        <v>694607</v>
      </c>
      <c r="E58" s="3">
        <v>8.5</v>
      </c>
      <c r="F58" s="3">
        <v>33.9</v>
      </c>
      <c r="G58" s="3">
        <v>31.2</v>
      </c>
    </row>
    <row r="59" spans="1:7" ht="15.75" customHeight="1" x14ac:dyDescent="0.25">
      <c r="A59" s="3">
        <v>2016</v>
      </c>
      <c r="B59" s="3" t="s">
        <v>16</v>
      </c>
      <c r="C59" s="13">
        <v>1963</v>
      </c>
      <c r="D59" s="13">
        <v>209659</v>
      </c>
      <c r="E59" s="3">
        <v>9.4</v>
      </c>
      <c r="F59" s="3">
        <v>35.6</v>
      </c>
      <c r="G59" s="3">
        <v>31.6</v>
      </c>
    </row>
    <row r="60" spans="1:7" ht="15.75" customHeight="1" x14ac:dyDescent="0.25">
      <c r="A60" s="3">
        <v>2016</v>
      </c>
      <c r="B60" s="3" t="s">
        <v>17</v>
      </c>
      <c r="C60" s="13">
        <v>8457</v>
      </c>
      <c r="D60" s="13">
        <v>1067715</v>
      </c>
      <c r="E60" s="3">
        <v>7.9</v>
      </c>
      <c r="F60" s="3">
        <v>33.200000000000003</v>
      </c>
      <c r="G60" s="3">
        <v>30.6</v>
      </c>
    </row>
    <row r="61" spans="1:7" ht="15.75" customHeight="1" x14ac:dyDescent="0.25">
      <c r="A61" s="3">
        <v>2016</v>
      </c>
      <c r="B61" s="3" t="s">
        <v>18</v>
      </c>
      <c r="C61" s="13">
        <v>11525</v>
      </c>
      <c r="D61" s="13">
        <v>1397188</v>
      </c>
      <c r="E61" s="3">
        <v>8.3000000000000007</v>
      </c>
      <c r="F61" s="3">
        <v>35.200000000000003</v>
      </c>
      <c r="G61" s="3">
        <v>32.200000000000003</v>
      </c>
    </row>
    <row r="62" spans="1:7" ht="15.75" customHeight="1" x14ac:dyDescent="0.25">
      <c r="A62" s="3">
        <v>2016</v>
      </c>
      <c r="B62" s="3" t="s">
        <v>19</v>
      </c>
      <c r="C62" s="13">
        <v>10546</v>
      </c>
      <c r="D62" s="13">
        <v>1255968</v>
      </c>
      <c r="E62" s="3">
        <v>8.4</v>
      </c>
      <c r="F62" s="3">
        <v>33.6</v>
      </c>
      <c r="G62" s="3">
        <v>31.1</v>
      </c>
    </row>
    <row r="63" spans="1:7" ht="15.75" customHeight="1" x14ac:dyDescent="0.25">
      <c r="A63" s="3">
        <v>2016</v>
      </c>
      <c r="B63" s="3" t="s">
        <v>20</v>
      </c>
      <c r="C63" s="13">
        <v>18634</v>
      </c>
      <c r="D63" s="13">
        <v>1908089</v>
      </c>
      <c r="E63" s="3">
        <v>9.8000000000000007</v>
      </c>
      <c r="F63" s="3">
        <v>33.299999999999997</v>
      </c>
      <c r="G63" s="3">
        <v>30.4</v>
      </c>
    </row>
    <row r="64" spans="1:7" ht="15.75" customHeight="1" x14ac:dyDescent="0.25">
      <c r="A64" s="3">
        <v>2016</v>
      </c>
      <c r="B64" s="3" t="s">
        <v>21</v>
      </c>
      <c r="C64" s="13">
        <v>18962</v>
      </c>
      <c r="D64" s="13">
        <v>1967737</v>
      </c>
      <c r="E64" s="3">
        <v>9.6</v>
      </c>
      <c r="F64" s="3">
        <v>33.299999999999997</v>
      </c>
      <c r="G64" s="3">
        <v>30.5</v>
      </c>
    </row>
    <row r="65" spans="1:7" ht="15.75" customHeight="1" x14ac:dyDescent="0.25">
      <c r="A65" s="3">
        <v>2016</v>
      </c>
      <c r="B65" s="3" t="s">
        <v>22</v>
      </c>
      <c r="C65" s="13">
        <v>134714</v>
      </c>
      <c r="D65" s="13">
        <v>16287985</v>
      </c>
      <c r="E65" s="3">
        <v>8.3000000000000007</v>
      </c>
      <c r="F65" s="3">
        <v>33.5</v>
      </c>
      <c r="G65" s="3">
        <v>30.9</v>
      </c>
    </row>
    <row r="66" spans="1:7" ht="15.75" customHeight="1" x14ac:dyDescent="0.25">
      <c r="A66" s="3">
        <v>2017</v>
      </c>
      <c r="B66" s="3" t="s">
        <v>7</v>
      </c>
      <c r="C66" s="13">
        <v>4997</v>
      </c>
      <c r="D66" s="13">
        <v>626553</v>
      </c>
      <c r="E66" s="3">
        <v>8</v>
      </c>
      <c r="F66" s="3">
        <v>34.6</v>
      </c>
      <c r="G66" s="3">
        <v>31.8</v>
      </c>
    </row>
    <row r="67" spans="1:7" ht="15.75" customHeight="1" x14ac:dyDescent="0.25">
      <c r="A67" s="3">
        <v>2017</v>
      </c>
      <c r="B67" s="3" t="s">
        <v>8</v>
      </c>
      <c r="C67" s="13">
        <v>3040</v>
      </c>
      <c r="D67" s="13">
        <v>351903</v>
      </c>
      <c r="E67" s="3">
        <v>8.6</v>
      </c>
      <c r="F67" s="3">
        <v>34</v>
      </c>
      <c r="G67" s="3">
        <v>31.2</v>
      </c>
    </row>
    <row r="68" spans="1:7" ht="15.75" customHeight="1" x14ac:dyDescent="0.25">
      <c r="A68" s="3">
        <v>2017</v>
      </c>
      <c r="B68" s="3" t="s">
        <v>9</v>
      </c>
      <c r="C68" s="13">
        <v>7594</v>
      </c>
      <c r="D68" s="13">
        <v>886883</v>
      </c>
      <c r="E68" s="3">
        <v>8.6</v>
      </c>
      <c r="F68" s="3">
        <v>33.799999999999997</v>
      </c>
      <c r="G68" s="3">
        <v>31.3</v>
      </c>
    </row>
    <row r="69" spans="1:7" ht="15.75" customHeight="1" x14ac:dyDescent="0.25">
      <c r="A69" s="3">
        <v>2017</v>
      </c>
      <c r="B69" s="3" t="s">
        <v>10</v>
      </c>
      <c r="C69" s="13">
        <v>47911</v>
      </c>
      <c r="D69" s="13">
        <v>5458041</v>
      </c>
      <c r="E69" s="3">
        <v>8.8000000000000007</v>
      </c>
      <c r="F69" s="3">
        <v>33.5</v>
      </c>
      <c r="G69" s="3">
        <v>30.9</v>
      </c>
    </row>
    <row r="70" spans="1:7" ht="15.75" customHeight="1" x14ac:dyDescent="0.25">
      <c r="A70" s="3">
        <v>2017</v>
      </c>
      <c r="B70" s="3" t="s">
        <v>11</v>
      </c>
      <c r="C70" s="13">
        <v>7067</v>
      </c>
      <c r="D70" s="13">
        <v>814832</v>
      </c>
      <c r="E70" s="3">
        <v>8.6999999999999993</v>
      </c>
      <c r="F70" s="3">
        <v>34.1</v>
      </c>
      <c r="G70" s="3">
        <v>31.6</v>
      </c>
    </row>
    <row r="71" spans="1:7" ht="15.75" customHeight="1" x14ac:dyDescent="0.25">
      <c r="A71" s="3">
        <v>2017</v>
      </c>
      <c r="B71" s="3" t="s">
        <v>12</v>
      </c>
      <c r="C71" s="13">
        <v>4502</v>
      </c>
      <c r="D71" s="13">
        <v>586957</v>
      </c>
      <c r="E71" s="3">
        <v>7.7</v>
      </c>
      <c r="F71" s="3">
        <v>32.799999999999997</v>
      </c>
      <c r="G71" s="3">
        <v>30.4</v>
      </c>
    </row>
    <row r="72" spans="1:7" ht="15.75" customHeight="1" x14ac:dyDescent="0.25">
      <c r="A72" s="3">
        <v>2017</v>
      </c>
      <c r="B72" s="3" t="s">
        <v>13</v>
      </c>
      <c r="C72" s="13">
        <v>3520</v>
      </c>
      <c r="D72" s="13">
        <v>409211</v>
      </c>
      <c r="E72" s="3">
        <v>8.6</v>
      </c>
      <c r="F72" s="3">
        <v>33.5</v>
      </c>
      <c r="G72" s="3">
        <v>30</v>
      </c>
    </row>
    <row r="73" spans="1:7" ht="15.75" customHeight="1" x14ac:dyDescent="0.25">
      <c r="A73" s="3">
        <v>2017</v>
      </c>
      <c r="B73" s="3" t="s">
        <v>14</v>
      </c>
      <c r="C73" s="13">
        <v>6422</v>
      </c>
      <c r="D73" s="13">
        <v>782547</v>
      </c>
      <c r="E73" s="3">
        <v>8.1999999999999993</v>
      </c>
      <c r="F73" s="3">
        <v>34.200000000000003</v>
      </c>
      <c r="G73" s="3">
        <v>31.4</v>
      </c>
    </row>
    <row r="74" spans="1:7" ht="15.75" customHeight="1" x14ac:dyDescent="0.25">
      <c r="A74" s="3">
        <v>2017</v>
      </c>
      <c r="B74" s="3" t="s">
        <v>15</v>
      </c>
      <c r="C74" s="13">
        <v>5552</v>
      </c>
      <c r="D74" s="13">
        <v>698954</v>
      </c>
      <c r="E74" s="3">
        <v>7.9</v>
      </c>
      <c r="F74" s="3">
        <v>34.299999999999997</v>
      </c>
      <c r="G74" s="3">
        <v>31.5</v>
      </c>
    </row>
    <row r="75" spans="1:7" ht="15.75" customHeight="1" x14ac:dyDescent="0.25">
      <c r="A75" s="3">
        <v>2017</v>
      </c>
      <c r="B75" s="3" t="s">
        <v>16</v>
      </c>
      <c r="C75" s="13">
        <v>1916</v>
      </c>
      <c r="D75" s="13">
        <v>211476</v>
      </c>
      <c r="E75" s="3">
        <v>9.1</v>
      </c>
      <c r="F75" s="3">
        <v>36</v>
      </c>
      <c r="G75" s="3">
        <v>32.299999999999997</v>
      </c>
    </row>
    <row r="76" spans="1:7" ht="15.75" customHeight="1" x14ac:dyDescent="0.25">
      <c r="A76" s="3">
        <v>2017</v>
      </c>
      <c r="B76" s="3" t="s">
        <v>17</v>
      </c>
      <c r="C76" s="13">
        <v>8050</v>
      </c>
      <c r="D76" s="13">
        <v>1080579</v>
      </c>
      <c r="E76" s="3">
        <v>7.5</v>
      </c>
      <c r="F76" s="3">
        <v>33.700000000000003</v>
      </c>
      <c r="G76" s="3">
        <v>31.1</v>
      </c>
    </row>
    <row r="77" spans="1:7" ht="15.75" customHeight="1" x14ac:dyDescent="0.25">
      <c r="A77" s="3">
        <v>2017</v>
      </c>
      <c r="B77" s="3" t="s">
        <v>18</v>
      </c>
      <c r="C77" s="13">
        <v>11251</v>
      </c>
      <c r="D77" s="13">
        <v>1413155</v>
      </c>
      <c r="E77" s="3">
        <v>8</v>
      </c>
      <c r="F77" s="3">
        <v>35.799999999999997</v>
      </c>
      <c r="G77" s="3">
        <v>32.9</v>
      </c>
    </row>
    <row r="78" spans="1:7" ht="15.75" customHeight="1" x14ac:dyDescent="0.25">
      <c r="A78" s="3">
        <v>2017</v>
      </c>
      <c r="B78" s="3" t="s">
        <v>19</v>
      </c>
      <c r="C78" s="13">
        <v>10120</v>
      </c>
      <c r="D78" s="13">
        <v>1270114</v>
      </c>
      <c r="E78" s="3">
        <v>8</v>
      </c>
      <c r="F78" s="3">
        <v>34.200000000000003</v>
      </c>
      <c r="G78" s="3">
        <v>31.5</v>
      </c>
    </row>
    <row r="79" spans="1:7" ht="15.75" customHeight="1" x14ac:dyDescent="0.25">
      <c r="A79" s="3">
        <v>2017</v>
      </c>
      <c r="B79" s="3" t="s">
        <v>20</v>
      </c>
      <c r="C79" s="13">
        <v>17960</v>
      </c>
      <c r="D79" s="13">
        <v>1932285</v>
      </c>
      <c r="E79" s="3">
        <v>9.3000000000000007</v>
      </c>
      <c r="F79" s="3">
        <v>33.799999999999997</v>
      </c>
      <c r="G79" s="3">
        <v>31</v>
      </c>
    </row>
    <row r="80" spans="1:7" ht="15.75" customHeight="1" x14ac:dyDescent="0.25">
      <c r="A80" s="3">
        <v>2017</v>
      </c>
      <c r="B80" s="3" t="s">
        <v>21</v>
      </c>
      <c r="C80" s="13">
        <v>18553</v>
      </c>
      <c r="D80" s="13">
        <v>1999071</v>
      </c>
      <c r="E80" s="3">
        <v>9.3000000000000007</v>
      </c>
      <c r="F80" s="3">
        <v>33.799999999999997</v>
      </c>
      <c r="G80" s="3">
        <v>31</v>
      </c>
    </row>
    <row r="81" spans="1:7" ht="15.75" customHeight="1" x14ac:dyDescent="0.25">
      <c r="A81" s="3">
        <v>2017</v>
      </c>
      <c r="B81" s="3" t="s">
        <v>22</v>
      </c>
      <c r="C81" s="13">
        <v>133488</v>
      </c>
      <c r="D81" s="13">
        <v>16434757</v>
      </c>
      <c r="E81" s="3">
        <v>8.1</v>
      </c>
      <c r="F81" s="3">
        <v>33.9</v>
      </c>
      <c r="G81" s="3">
        <v>31.4</v>
      </c>
    </row>
    <row r="82" spans="1:7" ht="15.75" customHeight="1" x14ac:dyDescent="0.25">
      <c r="A82" s="3">
        <v>2018</v>
      </c>
      <c r="B82" s="3" t="s">
        <v>7</v>
      </c>
      <c r="C82" s="13">
        <v>4820</v>
      </c>
      <c r="D82" s="13">
        <v>631115</v>
      </c>
      <c r="E82" s="3">
        <v>7.6</v>
      </c>
      <c r="F82" s="3">
        <v>34.700000000000003</v>
      </c>
      <c r="G82" s="3">
        <v>32.1</v>
      </c>
    </row>
    <row r="83" spans="1:7" ht="15.75" customHeight="1" x14ac:dyDescent="0.25">
      <c r="A83" s="3">
        <v>2018</v>
      </c>
      <c r="B83" s="3" t="s">
        <v>8</v>
      </c>
      <c r="C83" s="13">
        <v>2839</v>
      </c>
      <c r="D83" s="13">
        <v>354524</v>
      </c>
      <c r="E83" s="3">
        <v>8</v>
      </c>
      <c r="F83" s="3">
        <v>34</v>
      </c>
      <c r="G83" s="3">
        <v>31.4</v>
      </c>
    </row>
    <row r="84" spans="1:7" ht="15.75" customHeight="1" x14ac:dyDescent="0.25">
      <c r="A84" s="3">
        <v>2018</v>
      </c>
      <c r="B84" s="3" t="s">
        <v>9</v>
      </c>
      <c r="C84" s="13">
        <v>7317</v>
      </c>
      <c r="D84" s="13">
        <v>893989</v>
      </c>
      <c r="E84" s="3">
        <v>8.1999999999999993</v>
      </c>
      <c r="F84" s="3">
        <v>34.1</v>
      </c>
      <c r="G84" s="3">
        <v>31.6</v>
      </c>
    </row>
    <row r="85" spans="1:7" ht="15.75" customHeight="1" x14ac:dyDescent="0.25">
      <c r="A85" s="3">
        <v>2018</v>
      </c>
      <c r="B85" s="3" t="s">
        <v>10</v>
      </c>
      <c r="C85" s="13">
        <v>46154</v>
      </c>
      <c r="D85" s="13">
        <v>5531027</v>
      </c>
      <c r="E85" s="3">
        <v>8.3000000000000007</v>
      </c>
      <c r="F85" s="3">
        <v>33.9</v>
      </c>
      <c r="G85" s="3">
        <v>31.3</v>
      </c>
    </row>
    <row r="86" spans="1:7" ht="15.75" customHeight="1" x14ac:dyDescent="0.25">
      <c r="A86" s="3">
        <v>2018</v>
      </c>
      <c r="B86" s="3" t="s">
        <v>11</v>
      </c>
      <c r="C86" s="13">
        <v>6644</v>
      </c>
      <c r="D86" s="13">
        <v>822385</v>
      </c>
      <c r="E86" s="3">
        <v>8.1</v>
      </c>
      <c r="F86" s="3">
        <v>34.4</v>
      </c>
      <c r="G86" s="3">
        <v>31.9</v>
      </c>
    </row>
    <row r="87" spans="1:7" ht="15.75" customHeight="1" x14ac:dyDescent="0.25">
      <c r="A87" s="3">
        <v>2018</v>
      </c>
      <c r="B87" s="3" t="s">
        <v>12</v>
      </c>
      <c r="C87" s="13">
        <v>4380</v>
      </c>
      <c r="D87" s="13">
        <v>592143</v>
      </c>
      <c r="E87" s="3">
        <v>7.4</v>
      </c>
      <c r="F87" s="3">
        <v>33.299999999999997</v>
      </c>
      <c r="G87" s="3">
        <v>30.7</v>
      </c>
    </row>
    <row r="88" spans="1:7" ht="15.75" customHeight="1" x14ac:dyDescent="0.25">
      <c r="A88" s="3">
        <v>2018</v>
      </c>
      <c r="B88" s="3" t="s">
        <v>13</v>
      </c>
      <c r="C88" s="13">
        <v>3439</v>
      </c>
      <c r="D88" s="13">
        <v>412450</v>
      </c>
      <c r="E88" s="3">
        <v>8.3000000000000007</v>
      </c>
      <c r="F88" s="3">
        <v>33.4</v>
      </c>
      <c r="G88" s="3">
        <v>30.2</v>
      </c>
    </row>
    <row r="89" spans="1:7" ht="15.75" customHeight="1" x14ac:dyDescent="0.25">
      <c r="A89" s="3">
        <v>2018</v>
      </c>
      <c r="B89" s="3" t="s">
        <v>14</v>
      </c>
      <c r="C89" s="13">
        <v>6369</v>
      </c>
      <c r="D89" s="13">
        <v>787684</v>
      </c>
      <c r="E89" s="3">
        <v>8.1</v>
      </c>
      <c r="F89" s="3">
        <v>34.6</v>
      </c>
      <c r="G89" s="3">
        <v>31.8</v>
      </c>
    </row>
    <row r="90" spans="1:7" ht="15.75" customHeight="1" x14ac:dyDescent="0.25">
      <c r="A90" s="3">
        <v>2018</v>
      </c>
      <c r="B90" s="3" t="s">
        <v>15</v>
      </c>
      <c r="C90" s="13">
        <v>5209</v>
      </c>
      <c r="D90" s="13">
        <v>703459</v>
      </c>
      <c r="E90" s="3">
        <v>7.4</v>
      </c>
      <c r="F90" s="3">
        <v>35</v>
      </c>
      <c r="G90" s="3">
        <v>32</v>
      </c>
    </row>
    <row r="91" spans="1:7" ht="15.75" customHeight="1" x14ac:dyDescent="0.25">
      <c r="A91" s="3">
        <v>2018</v>
      </c>
      <c r="B91" s="3" t="s">
        <v>16</v>
      </c>
      <c r="C91" s="13">
        <v>2042</v>
      </c>
      <c r="D91" s="13">
        <v>213304</v>
      </c>
      <c r="E91" s="3">
        <v>9.6</v>
      </c>
      <c r="F91" s="3">
        <v>36.200000000000003</v>
      </c>
      <c r="G91" s="3">
        <v>32.4</v>
      </c>
    </row>
    <row r="92" spans="1:7" ht="15.75" customHeight="1" x14ac:dyDescent="0.25">
      <c r="A92" s="3">
        <v>2018</v>
      </c>
      <c r="B92" s="3" t="s">
        <v>17</v>
      </c>
      <c r="C92" s="13">
        <v>8242</v>
      </c>
      <c r="D92" s="13">
        <v>1093794</v>
      </c>
      <c r="E92" s="3">
        <v>7.5</v>
      </c>
      <c r="F92" s="3">
        <v>34.299999999999997</v>
      </c>
      <c r="G92" s="3">
        <v>31.8</v>
      </c>
    </row>
    <row r="93" spans="1:7" ht="15.75" customHeight="1" x14ac:dyDescent="0.25">
      <c r="A93" s="3">
        <v>2018</v>
      </c>
      <c r="B93" s="3" t="s">
        <v>18</v>
      </c>
      <c r="C93" s="13">
        <v>10809</v>
      </c>
      <c r="D93" s="13">
        <v>1429127</v>
      </c>
      <c r="E93" s="3">
        <v>7.6</v>
      </c>
      <c r="F93" s="3">
        <v>36.1</v>
      </c>
      <c r="G93" s="3">
        <v>33.200000000000003</v>
      </c>
    </row>
    <row r="94" spans="1:7" ht="15.75" customHeight="1" x14ac:dyDescent="0.25">
      <c r="A94" s="3">
        <v>2018</v>
      </c>
      <c r="B94" s="3" t="s">
        <v>19</v>
      </c>
      <c r="C94" s="13">
        <v>9723</v>
      </c>
      <c r="D94" s="13">
        <v>1284438</v>
      </c>
      <c r="E94" s="3">
        <v>7.6</v>
      </c>
      <c r="F94" s="3">
        <v>34.4</v>
      </c>
      <c r="G94" s="3">
        <v>31.8</v>
      </c>
    </row>
    <row r="95" spans="1:7" ht="15.75" customHeight="1" x14ac:dyDescent="0.25">
      <c r="A95" s="3">
        <v>2018</v>
      </c>
      <c r="B95" s="3" t="s">
        <v>20</v>
      </c>
      <c r="C95" s="13">
        <v>17560</v>
      </c>
      <c r="D95" s="13">
        <v>1956890</v>
      </c>
      <c r="E95" s="3">
        <v>9</v>
      </c>
      <c r="F95" s="3">
        <v>34.200000000000003</v>
      </c>
      <c r="G95" s="3">
        <v>31.4</v>
      </c>
    </row>
    <row r="96" spans="1:7" ht="15.75" customHeight="1" x14ac:dyDescent="0.25">
      <c r="A96" s="3">
        <v>2018</v>
      </c>
      <c r="B96" s="3" t="s">
        <v>21</v>
      </c>
      <c r="C96" s="13">
        <v>18325</v>
      </c>
      <c r="D96" s="13">
        <v>2030874</v>
      </c>
      <c r="E96" s="3">
        <v>9</v>
      </c>
      <c r="F96" s="3">
        <v>33.799999999999997</v>
      </c>
      <c r="G96" s="3">
        <v>31.2</v>
      </c>
    </row>
    <row r="97" spans="1:7" ht="15.75" customHeight="1" x14ac:dyDescent="0.25">
      <c r="A97" s="3">
        <v>2018</v>
      </c>
      <c r="B97" s="3" t="s">
        <v>22</v>
      </c>
      <c r="C97" s="13">
        <v>126027</v>
      </c>
      <c r="D97" s="13">
        <v>16580656</v>
      </c>
      <c r="E97" s="3">
        <v>7.6</v>
      </c>
      <c r="F97" s="3">
        <v>34.200000000000003</v>
      </c>
      <c r="G97" s="3">
        <v>31.7</v>
      </c>
    </row>
    <row r="98" spans="1:7" ht="15.75" customHeight="1" x14ac:dyDescent="0.25">
      <c r="A98" s="3">
        <v>2019</v>
      </c>
      <c r="B98" s="3" t="s">
        <v>7</v>
      </c>
      <c r="C98" s="13">
        <v>4588</v>
      </c>
      <c r="D98" s="13">
        <v>635229</v>
      </c>
      <c r="E98" s="3">
        <v>7.2</v>
      </c>
      <c r="F98" s="3">
        <v>35.799999999999997</v>
      </c>
      <c r="G98" s="3">
        <v>32.9</v>
      </c>
    </row>
    <row r="99" spans="1:7" ht="15.75" customHeight="1" x14ac:dyDescent="0.25">
      <c r="A99" s="3">
        <v>2019</v>
      </c>
      <c r="B99" s="3" t="s">
        <v>8</v>
      </c>
      <c r="C99" s="13">
        <v>2606</v>
      </c>
      <c r="D99" s="13">
        <v>357002</v>
      </c>
      <c r="E99" s="3">
        <v>7.3</v>
      </c>
      <c r="F99" s="3">
        <v>34.5</v>
      </c>
      <c r="G99" s="3">
        <v>32</v>
      </c>
    </row>
    <row r="100" spans="1:7" ht="15.75" customHeight="1" x14ac:dyDescent="0.25">
      <c r="A100" s="3">
        <v>2019</v>
      </c>
      <c r="B100" s="3" t="s">
        <v>9</v>
      </c>
      <c r="C100" s="13">
        <v>7156</v>
      </c>
      <c r="D100" s="13">
        <v>900750</v>
      </c>
      <c r="E100" s="3">
        <v>7.9</v>
      </c>
      <c r="F100" s="3">
        <v>34.799999999999997</v>
      </c>
      <c r="G100" s="3">
        <v>32.200000000000003</v>
      </c>
    </row>
    <row r="101" spans="1:7" ht="15.75" customHeight="1" x14ac:dyDescent="0.25">
      <c r="A101" s="3">
        <v>2019</v>
      </c>
      <c r="B101" s="3" t="s">
        <v>10</v>
      </c>
      <c r="C101" s="13">
        <v>44258</v>
      </c>
      <c r="D101" s="13">
        <v>5602738</v>
      </c>
      <c r="E101" s="3">
        <v>7.9</v>
      </c>
      <c r="F101" s="3">
        <v>34.200000000000003</v>
      </c>
      <c r="G101" s="3">
        <v>31.7</v>
      </c>
    </row>
    <row r="102" spans="1:7" ht="15.75" customHeight="1" x14ac:dyDescent="0.25">
      <c r="A102" s="3">
        <v>2019</v>
      </c>
      <c r="B102" s="3" t="s">
        <v>11</v>
      </c>
      <c r="C102" s="13">
        <v>6001</v>
      </c>
      <c r="D102" s="13">
        <v>829645</v>
      </c>
      <c r="E102" s="3">
        <v>7.2</v>
      </c>
      <c r="F102" s="3">
        <v>34.9</v>
      </c>
      <c r="G102" s="3">
        <v>32.200000000000003</v>
      </c>
    </row>
    <row r="103" spans="1:7" ht="15.75" customHeight="1" x14ac:dyDescent="0.25">
      <c r="A103" s="3">
        <v>2019</v>
      </c>
      <c r="B103" s="3" t="s">
        <v>12</v>
      </c>
      <c r="C103" s="13">
        <v>4206</v>
      </c>
      <c r="D103" s="13">
        <v>597020</v>
      </c>
      <c r="E103" s="3">
        <v>7</v>
      </c>
      <c r="F103" s="3">
        <v>34.200000000000003</v>
      </c>
      <c r="G103" s="3">
        <v>31.5</v>
      </c>
    </row>
    <row r="104" spans="1:7" ht="15.75" customHeight="1" x14ac:dyDescent="0.25">
      <c r="A104" s="3">
        <v>2019</v>
      </c>
      <c r="B104" s="3" t="s">
        <v>13</v>
      </c>
      <c r="C104" s="13">
        <v>3374</v>
      </c>
      <c r="D104" s="13">
        <v>415628</v>
      </c>
      <c r="E104" s="3">
        <v>8.1</v>
      </c>
      <c r="F104" s="3">
        <v>34.4</v>
      </c>
      <c r="G104" s="3">
        <v>30.9</v>
      </c>
    </row>
    <row r="105" spans="1:7" ht="15.75" customHeight="1" x14ac:dyDescent="0.25">
      <c r="A105" s="3">
        <v>2019</v>
      </c>
      <c r="B105" s="3" t="s">
        <v>14</v>
      </c>
      <c r="C105" s="13">
        <v>6004</v>
      </c>
      <c r="D105" s="13">
        <v>792504</v>
      </c>
      <c r="E105" s="3">
        <v>7.6</v>
      </c>
      <c r="F105" s="3">
        <v>34.9</v>
      </c>
      <c r="G105" s="3">
        <v>32.1</v>
      </c>
    </row>
    <row r="106" spans="1:7" ht="15.75" customHeight="1" x14ac:dyDescent="0.25">
      <c r="A106" s="3">
        <v>2019</v>
      </c>
      <c r="B106" s="3" t="s">
        <v>15</v>
      </c>
      <c r="C106" s="13">
        <v>5017</v>
      </c>
      <c r="D106" s="13">
        <v>707596</v>
      </c>
      <c r="E106" s="3">
        <v>7.1</v>
      </c>
      <c r="F106" s="3">
        <v>35.299999999999997</v>
      </c>
      <c r="G106" s="3">
        <v>32.4</v>
      </c>
    </row>
    <row r="107" spans="1:7" ht="15.75" customHeight="1" x14ac:dyDescent="0.25">
      <c r="A107" s="3">
        <v>2019</v>
      </c>
      <c r="B107" s="3" t="s">
        <v>16</v>
      </c>
      <c r="C107" s="13">
        <v>1883</v>
      </c>
      <c r="D107" s="13">
        <v>215057</v>
      </c>
      <c r="E107" s="3">
        <v>8.8000000000000007</v>
      </c>
      <c r="F107" s="3">
        <v>36.5</v>
      </c>
      <c r="G107" s="3">
        <v>32.799999999999997</v>
      </c>
    </row>
    <row r="108" spans="1:7" ht="15.75" customHeight="1" x14ac:dyDescent="0.25">
      <c r="A108" s="3">
        <v>2019</v>
      </c>
      <c r="B108" s="3" t="s">
        <v>17</v>
      </c>
      <c r="C108" s="13">
        <v>7976</v>
      </c>
      <c r="D108" s="13">
        <v>1106951</v>
      </c>
      <c r="E108" s="3">
        <v>7.2</v>
      </c>
      <c r="F108" s="3">
        <v>34.200000000000003</v>
      </c>
      <c r="G108" s="3">
        <v>31.6</v>
      </c>
    </row>
    <row r="109" spans="1:7" ht="15.75" customHeight="1" x14ac:dyDescent="0.25">
      <c r="A109" s="3">
        <v>2019</v>
      </c>
      <c r="B109" s="3" t="s">
        <v>18</v>
      </c>
      <c r="C109" s="13">
        <v>10412</v>
      </c>
      <c r="D109" s="13">
        <v>1444188</v>
      </c>
      <c r="E109" s="3">
        <v>7.2</v>
      </c>
      <c r="F109" s="3">
        <v>36.700000000000003</v>
      </c>
      <c r="G109" s="3">
        <v>33.700000000000003</v>
      </c>
    </row>
    <row r="110" spans="1:7" ht="15.75" customHeight="1" x14ac:dyDescent="0.25">
      <c r="A110" s="3">
        <v>2019</v>
      </c>
      <c r="B110" s="3" t="s">
        <v>19</v>
      </c>
      <c r="C110" s="13">
        <v>9547</v>
      </c>
      <c r="D110" s="13">
        <v>1298657</v>
      </c>
      <c r="E110" s="3">
        <v>7.4</v>
      </c>
      <c r="F110" s="3">
        <v>34.799999999999997</v>
      </c>
      <c r="G110" s="3">
        <v>32.299999999999997</v>
      </c>
    </row>
    <row r="111" spans="1:7" ht="15.75" customHeight="1" x14ac:dyDescent="0.25">
      <c r="A111" s="3">
        <v>2019</v>
      </c>
      <c r="B111" s="3" t="s">
        <v>20</v>
      </c>
      <c r="C111" s="13">
        <v>16804</v>
      </c>
      <c r="D111" s="13">
        <v>1980671</v>
      </c>
      <c r="E111" s="3">
        <v>8.5</v>
      </c>
      <c r="F111" s="3">
        <v>34.5</v>
      </c>
      <c r="G111" s="3">
        <v>31.7</v>
      </c>
    </row>
    <row r="112" spans="1:7" ht="15.75" customHeight="1" x14ac:dyDescent="0.25">
      <c r="A112" s="3">
        <v>2019</v>
      </c>
      <c r="B112" s="3" t="s">
        <v>21</v>
      </c>
      <c r="C112" s="13">
        <v>18075</v>
      </c>
      <c r="D112" s="13">
        <v>2062132</v>
      </c>
      <c r="E112" s="3">
        <v>8.8000000000000007</v>
      </c>
      <c r="F112" s="3">
        <v>34</v>
      </c>
      <c r="G112" s="3">
        <v>31.4</v>
      </c>
    </row>
    <row r="113" spans="1:7" ht="15.75" customHeight="1" x14ac:dyDescent="0.25">
      <c r="A113" s="3">
        <v>2019</v>
      </c>
      <c r="B113" s="3" t="s">
        <v>22</v>
      </c>
      <c r="C113" s="13">
        <v>122014</v>
      </c>
      <c r="D113" s="13">
        <v>16718424</v>
      </c>
      <c r="E113" s="3">
        <v>7.3</v>
      </c>
      <c r="F113" s="3">
        <v>34.700000000000003</v>
      </c>
      <c r="G113" s="3">
        <v>32.200000000000003</v>
      </c>
    </row>
    <row r="114" spans="1:7" ht="15.75" customHeight="1" x14ac:dyDescent="0.25">
      <c r="A114" s="3">
        <v>2020</v>
      </c>
      <c r="B114" s="3" t="s">
        <v>7</v>
      </c>
      <c r="C114" s="13">
        <v>3382</v>
      </c>
      <c r="D114" s="13">
        <v>638605</v>
      </c>
      <c r="E114" s="3">
        <v>5.3</v>
      </c>
      <c r="F114" s="3">
        <v>36</v>
      </c>
      <c r="G114" s="3">
        <v>33.200000000000003</v>
      </c>
    </row>
    <row r="115" spans="1:7" ht="15.75" customHeight="1" x14ac:dyDescent="0.25">
      <c r="A115" s="3">
        <v>2020</v>
      </c>
      <c r="B115" s="3" t="s">
        <v>8</v>
      </c>
      <c r="C115" s="13">
        <v>2057</v>
      </c>
      <c r="D115" s="13">
        <v>359082</v>
      </c>
      <c r="E115" s="3">
        <v>5.7</v>
      </c>
      <c r="F115" s="3">
        <v>35.200000000000003</v>
      </c>
      <c r="G115" s="3">
        <v>32.6</v>
      </c>
    </row>
    <row r="116" spans="1:7" ht="15.75" customHeight="1" x14ac:dyDescent="0.25">
      <c r="A116" s="3">
        <v>2020</v>
      </c>
      <c r="B116" s="3" t="s">
        <v>9</v>
      </c>
      <c r="C116" s="13">
        <v>5281</v>
      </c>
      <c r="D116" s="13">
        <v>906741</v>
      </c>
      <c r="E116" s="3">
        <v>5.8</v>
      </c>
      <c r="F116" s="3">
        <v>35</v>
      </c>
      <c r="G116" s="3">
        <v>32.4</v>
      </c>
    </row>
    <row r="117" spans="1:7" ht="15.75" customHeight="1" x14ac:dyDescent="0.25">
      <c r="A117" s="3">
        <v>2020</v>
      </c>
      <c r="B117" s="3" t="s">
        <v>10</v>
      </c>
      <c r="C117" s="13">
        <v>32226</v>
      </c>
      <c r="D117" s="13">
        <v>5669008</v>
      </c>
      <c r="E117" s="3">
        <v>5.7</v>
      </c>
      <c r="F117" s="3">
        <v>34.5</v>
      </c>
      <c r="G117" s="3">
        <v>32</v>
      </c>
    </row>
    <row r="118" spans="1:7" ht="15.75" customHeight="1" x14ac:dyDescent="0.25">
      <c r="A118" s="3">
        <v>2020</v>
      </c>
      <c r="B118" s="3" t="s">
        <v>11</v>
      </c>
      <c r="C118" s="13">
        <v>4701</v>
      </c>
      <c r="D118" s="13">
        <v>836294</v>
      </c>
      <c r="E118" s="3">
        <v>5.6</v>
      </c>
      <c r="F118" s="3">
        <v>35.299999999999997</v>
      </c>
      <c r="G118" s="3">
        <v>32.799999999999997</v>
      </c>
    </row>
    <row r="119" spans="1:7" ht="15.75" customHeight="1" x14ac:dyDescent="0.25">
      <c r="A119" s="3">
        <v>2020</v>
      </c>
      <c r="B119" s="3" t="s">
        <v>12</v>
      </c>
      <c r="C119" s="13">
        <v>3049</v>
      </c>
      <c r="D119" s="13">
        <v>601284</v>
      </c>
      <c r="E119" s="3">
        <v>5.0999999999999996</v>
      </c>
      <c r="F119" s="3">
        <v>33.9</v>
      </c>
      <c r="G119" s="3">
        <v>31.4</v>
      </c>
    </row>
    <row r="120" spans="1:7" ht="15.75" customHeight="1" x14ac:dyDescent="0.25">
      <c r="A120" s="3">
        <v>2020</v>
      </c>
      <c r="B120" s="3" t="s">
        <v>13</v>
      </c>
      <c r="C120" s="13">
        <v>2437</v>
      </c>
      <c r="D120" s="13">
        <v>418508</v>
      </c>
      <c r="E120" s="3">
        <v>5.8</v>
      </c>
      <c r="F120" s="3">
        <v>34.4</v>
      </c>
      <c r="G120" s="3">
        <v>30.9</v>
      </c>
    </row>
    <row r="121" spans="1:7" ht="15.75" customHeight="1" x14ac:dyDescent="0.25">
      <c r="A121" s="3">
        <v>2020</v>
      </c>
      <c r="B121" s="3" t="s">
        <v>14</v>
      </c>
      <c r="C121" s="13">
        <v>4519</v>
      </c>
      <c r="D121" s="13">
        <v>796656</v>
      </c>
      <c r="E121" s="3">
        <v>5.7</v>
      </c>
      <c r="F121" s="3">
        <v>35.4</v>
      </c>
      <c r="G121" s="3">
        <v>32.700000000000003</v>
      </c>
    </row>
    <row r="122" spans="1:7" ht="15.75" customHeight="1" x14ac:dyDescent="0.25">
      <c r="A122" s="3">
        <v>2020</v>
      </c>
      <c r="B122" s="3" t="s">
        <v>15</v>
      </c>
      <c r="C122" s="13">
        <v>3430</v>
      </c>
      <c r="D122" s="13">
        <v>711105</v>
      </c>
      <c r="E122" s="3">
        <v>4.8</v>
      </c>
      <c r="F122" s="3">
        <v>35.700000000000003</v>
      </c>
      <c r="G122" s="3">
        <v>32.9</v>
      </c>
    </row>
    <row r="123" spans="1:7" ht="15.75" customHeight="1" x14ac:dyDescent="0.25">
      <c r="A123" s="3">
        <v>2020</v>
      </c>
      <c r="B123" s="3" t="s">
        <v>16</v>
      </c>
      <c r="C123" s="13">
        <v>1363</v>
      </c>
      <c r="D123" s="13">
        <v>216513</v>
      </c>
      <c r="E123" s="3">
        <v>6.3</v>
      </c>
      <c r="F123" s="3">
        <v>36.6</v>
      </c>
      <c r="G123" s="3">
        <v>33</v>
      </c>
    </row>
    <row r="124" spans="1:7" ht="15.75" customHeight="1" x14ac:dyDescent="0.25">
      <c r="A124" s="3">
        <v>2020</v>
      </c>
      <c r="B124" s="3" t="s">
        <v>17</v>
      </c>
      <c r="C124" s="13">
        <v>5812</v>
      </c>
      <c r="D124" s="13">
        <v>1119023</v>
      </c>
      <c r="E124" s="3">
        <v>5.2</v>
      </c>
      <c r="F124" s="3">
        <v>34.799999999999997</v>
      </c>
      <c r="G124" s="3">
        <v>32.200000000000003</v>
      </c>
    </row>
    <row r="125" spans="1:7" ht="15.75" customHeight="1" x14ac:dyDescent="0.25">
      <c r="A125" s="3">
        <v>2020</v>
      </c>
      <c r="B125" s="3" t="s">
        <v>18</v>
      </c>
      <c r="C125" s="13">
        <v>7891</v>
      </c>
      <c r="D125" s="13">
        <v>1457420</v>
      </c>
      <c r="E125" s="3">
        <v>5.4</v>
      </c>
      <c r="F125" s="3">
        <v>36.6</v>
      </c>
      <c r="G125" s="3">
        <v>33.700000000000003</v>
      </c>
    </row>
    <row r="126" spans="1:7" ht="15.75" customHeight="1" x14ac:dyDescent="0.25">
      <c r="A126" s="3">
        <v>2020</v>
      </c>
      <c r="B126" s="3" t="s">
        <v>19</v>
      </c>
      <c r="C126" s="13">
        <v>6827</v>
      </c>
      <c r="D126" s="13">
        <v>1311579</v>
      </c>
      <c r="E126" s="3">
        <v>5.2</v>
      </c>
      <c r="F126" s="3">
        <v>35.4</v>
      </c>
      <c r="G126" s="3">
        <v>32.799999999999997</v>
      </c>
    </row>
    <row r="127" spans="1:7" ht="15.75" customHeight="1" x14ac:dyDescent="0.25">
      <c r="A127" s="3">
        <v>2020</v>
      </c>
      <c r="B127" s="3" t="s">
        <v>20</v>
      </c>
      <c r="C127" s="13">
        <v>12545</v>
      </c>
      <c r="D127" s="13">
        <v>2002796</v>
      </c>
      <c r="E127" s="3">
        <v>6.3</v>
      </c>
      <c r="F127" s="3">
        <v>34.4</v>
      </c>
      <c r="G127" s="3">
        <v>31.7</v>
      </c>
    </row>
    <row r="128" spans="1:7" ht="15.75" customHeight="1" x14ac:dyDescent="0.25">
      <c r="A128" s="3">
        <v>2020</v>
      </c>
      <c r="B128" s="3" t="s">
        <v>21</v>
      </c>
      <c r="C128" s="13">
        <v>13342</v>
      </c>
      <c r="D128" s="13">
        <v>2091970</v>
      </c>
      <c r="E128" s="3">
        <v>6.4</v>
      </c>
      <c r="F128" s="3">
        <v>34.5</v>
      </c>
      <c r="G128" s="3">
        <v>31.8</v>
      </c>
    </row>
    <row r="129" spans="1:7" ht="15.75" customHeight="1" x14ac:dyDescent="0.25">
      <c r="A129" s="3">
        <v>2020</v>
      </c>
      <c r="B129" s="3" t="s">
        <v>22</v>
      </c>
      <c r="C129" s="13">
        <v>87896</v>
      </c>
      <c r="D129" s="13">
        <v>16833062</v>
      </c>
      <c r="E129" s="3">
        <v>5.2</v>
      </c>
      <c r="F129" s="3">
        <v>34.700000000000003</v>
      </c>
      <c r="G129" s="3">
        <v>32.299999999999997</v>
      </c>
    </row>
    <row r="130" spans="1:7" ht="15.75" customHeight="1" x14ac:dyDescent="0.25">
      <c r="A130" s="3">
        <v>2021</v>
      </c>
      <c r="B130" s="3" t="s">
        <v>7</v>
      </c>
      <c r="C130" s="13">
        <v>3776</v>
      </c>
      <c r="D130" s="13">
        <v>640532</v>
      </c>
      <c r="E130" s="3">
        <v>5.9</v>
      </c>
      <c r="F130" s="3">
        <v>35.700000000000003</v>
      </c>
      <c r="G130" s="3">
        <v>33.299999999999997</v>
      </c>
    </row>
    <row r="131" spans="1:7" ht="15.75" customHeight="1" x14ac:dyDescent="0.25">
      <c r="A131" s="3">
        <v>2021</v>
      </c>
      <c r="B131" s="3" t="s">
        <v>8</v>
      </c>
      <c r="C131" s="13">
        <v>2235</v>
      </c>
      <c r="D131" s="13">
        <v>360361</v>
      </c>
      <c r="E131" s="3">
        <v>6.2</v>
      </c>
      <c r="F131" s="3">
        <v>35.4</v>
      </c>
      <c r="G131" s="3">
        <v>32.700000000000003</v>
      </c>
    </row>
    <row r="132" spans="1:7" ht="15.75" customHeight="1" x14ac:dyDescent="0.25">
      <c r="A132" s="3">
        <v>2021</v>
      </c>
      <c r="B132" s="3" t="s">
        <v>9</v>
      </c>
      <c r="C132" s="13">
        <v>6093</v>
      </c>
      <c r="D132" s="13">
        <v>911098</v>
      </c>
      <c r="E132" s="3">
        <v>6.7</v>
      </c>
      <c r="F132" s="3">
        <v>35.299999999999997</v>
      </c>
      <c r="G132" s="3">
        <v>32.9</v>
      </c>
    </row>
    <row r="133" spans="1:7" ht="15.75" customHeight="1" x14ac:dyDescent="0.25">
      <c r="A133" s="3">
        <v>2021</v>
      </c>
      <c r="B133" s="3" t="s">
        <v>10</v>
      </c>
      <c r="C133" s="13">
        <v>38540</v>
      </c>
      <c r="D133" s="13">
        <v>5724287</v>
      </c>
      <c r="E133" s="3">
        <v>6.7</v>
      </c>
      <c r="F133" s="3">
        <v>34.4</v>
      </c>
      <c r="G133" s="3">
        <v>32.1</v>
      </c>
    </row>
    <row r="134" spans="1:7" ht="15.75" customHeight="1" x14ac:dyDescent="0.25">
      <c r="A134" s="3">
        <v>2021</v>
      </c>
      <c r="B134" s="3" t="s">
        <v>11</v>
      </c>
      <c r="C134" s="13">
        <v>5250</v>
      </c>
      <c r="D134" s="13">
        <v>841469</v>
      </c>
      <c r="E134" s="3">
        <v>6.2</v>
      </c>
      <c r="F134" s="3">
        <v>34.9</v>
      </c>
      <c r="G134" s="3">
        <v>32.5</v>
      </c>
    </row>
    <row r="135" spans="1:7" ht="15.75" customHeight="1" x14ac:dyDescent="0.25">
      <c r="A135" s="3">
        <v>2021</v>
      </c>
      <c r="B135" s="3" t="s">
        <v>12</v>
      </c>
      <c r="C135" s="13">
        <v>3767</v>
      </c>
      <c r="D135" s="13">
        <v>604398</v>
      </c>
      <c r="E135" s="3">
        <v>6.2</v>
      </c>
      <c r="F135" s="3">
        <v>34.200000000000003</v>
      </c>
      <c r="G135" s="3">
        <v>31.5</v>
      </c>
    </row>
    <row r="136" spans="1:7" ht="15.75" customHeight="1" x14ac:dyDescent="0.25">
      <c r="A136" s="3">
        <v>2021</v>
      </c>
      <c r="B136" s="3" t="s">
        <v>13</v>
      </c>
      <c r="C136" s="13">
        <v>2861</v>
      </c>
      <c r="D136" s="13">
        <v>420258</v>
      </c>
      <c r="E136" s="3">
        <v>6.8</v>
      </c>
      <c r="F136" s="3">
        <v>35</v>
      </c>
      <c r="G136" s="3">
        <v>31.8</v>
      </c>
    </row>
    <row r="137" spans="1:7" ht="15.75" customHeight="1" x14ac:dyDescent="0.25">
      <c r="A137" s="3">
        <v>2021</v>
      </c>
      <c r="B137" s="3" t="s">
        <v>14</v>
      </c>
      <c r="C137" s="13">
        <v>5235</v>
      </c>
      <c r="D137" s="13">
        <v>798773</v>
      </c>
      <c r="E137" s="3">
        <v>6.6</v>
      </c>
      <c r="F137" s="3">
        <v>35.200000000000003</v>
      </c>
      <c r="G137" s="3">
        <v>32.5</v>
      </c>
    </row>
    <row r="138" spans="1:7" ht="15.75" customHeight="1" x14ac:dyDescent="0.25">
      <c r="A138" s="3">
        <v>2021</v>
      </c>
      <c r="B138" s="3" t="s">
        <v>15</v>
      </c>
      <c r="C138" s="13">
        <v>4247</v>
      </c>
      <c r="D138" s="13">
        <v>713129</v>
      </c>
      <c r="E138" s="3">
        <v>6</v>
      </c>
      <c r="F138" s="3">
        <v>35.6</v>
      </c>
      <c r="G138" s="3">
        <v>32.799999999999997</v>
      </c>
    </row>
    <row r="139" spans="1:7" ht="15.75" customHeight="1" x14ac:dyDescent="0.25">
      <c r="A139" s="3">
        <v>2021</v>
      </c>
      <c r="B139" s="3" t="s">
        <v>16</v>
      </c>
      <c r="C139" s="13">
        <v>1577</v>
      </c>
      <c r="D139" s="13">
        <v>217552</v>
      </c>
      <c r="E139" s="3">
        <v>7.3</v>
      </c>
      <c r="F139" s="3">
        <v>36.9</v>
      </c>
      <c r="G139" s="3">
        <v>33.299999999999997</v>
      </c>
    </row>
    <row r="140" spans="1:7" ht="15.75" customHeight="1" x14ac:dyDescent="0.25">
      <c r="A140" s="3">
        <v>2021</v>
      </c>
      <c r="B140" s="3" t="s">
        <v>17</v>
      </c>
      <c r="C140" s="13">
        <v>7028</v>
      </c>
      <c r="D140" s="13">
        <v>1129052</v>
      </c>
      <c r="E140" s="3">
        <v>6.2</v>
      </c>
      <c r="F140" s="3">
        <v>34.9</v>
      </c>
      <c r="G140" s="3">
        <v>32.5</v>
      </c>
    </row>
    <row r="141" spans="1:7" ht="15.75" customHeight="1" x14ac:dyDescent="0.25">
      <c r="A141" s="3">
        <v>2021</v>
      </c>
      <c r="B141" s="3" t="s">
        <v>18</v>
      </c>
      <c r="C141" s="13">
        <v>9276</v>
      </c>
      <c r="D141" s="13">
        <v>1467719</v>
      </c>
      <c r="E141" s="3">
        <v>6.3</v>
      </c>
      <c r="F141" s="3">
        <v>36.9</v>
      </c>
      <c r="G141" s="3">
        <v>34</v>
      </c>
    </row>
    <row r="142" spans="1:7" ht="15.75" customHeight="1" x14ac:dyDescent="0.25">
      <c r="A142" s="3">
        <v>2021</v>
      </c>
      <c r="B142" s="3" t="s">
        <v>19</v>
      </c>
      <c r="C142" s="13">
        <v>8074</v>
      </c>
      <c r="D142" s="13">
        <v>1321795</v>
      </c>
      <c r="E142" s="3">
        <v>6.1</v>
      </c>
      <c r="F142" s="3">
        <v>35.200000000000003</v>
      </c>
      <c r="G142" s="3">
        <v>32.799999999999997</v>
      </c>
    </row>
    <row r="143" spans="1:7" ht="15.75" customHeight="1" x14ac:dyDescent="0.25">
      <c r="A143" s="3">
        <v>2021</v>
      </c>
      <c r="B143" s="3" t="s">
        <v>20</v>
      </c>
      <c r="C143" s="13">
        <v>14814</v>
      </c>
      <c r="D143" s="13">
        <v>2021685</v>
      </c>
      <c r="E143" s="3">
        <v>7.3</v>
      </c>
      <c r="F143" s="3">
        <v>34.799999999999997</v>
      </c>
      <c r="G143" s="3">
        <v>32.200000000000003</v>
      </c>
    </row>
    <row r="144" spans="1:7" ht="15.75" customHeight="1" x14ac:dyDescent="0.25">
      <c r="A144" s="3">
        <v>2021</v>
      </c>
      <c r="B144" s="3" t="s">
        <v>21</v>
      </c>
      <c r="C144" s="13">
        <v>15557</v>
      </c>
      <c r="D144" s="13">
        <v>2117749</v>
      </c>
      <c r="E144" s="3">
        <v>7.4</v>
      </c>
      <c r="F144" s="3">
        <v>34.799999999999997</v>
      </c>
      <c r="G144" s="3">
        <v>32.299999999999997</v>
      </c>
    </row>
    <row r="145" spans="1:7" ht="15.75" customHeight="1" x14ac:dyDescent="0.25">
      <c r="A145" s="3">
        <v>2021</v>
      </c>
      <c r="B145" s="3" t="s">
        <v>22</v>
      </c>
      <c r="C145" s="13">
        <v>103364</v>
      </c>
      <c r="D145" s="13">
        <v>16912069</v>
      </c>
      <c r="E145" s="3">
        <v>6.1</v>
      </c>
      <c r="F145" s="3">
        <v>34.9</v>
      </c>
      <c r="G145" s="3">
        <v>32.4</v>
      </c>
    </row>
    <row r="146" spans="1:7" ht="15.75" customHeight="1" x14ac:dyDescent="0.25">
      <c r="A146" s="3">
        <v>2022</v>
      </c>
      <c r="B146" s="3" t="s">
        <v>7</v>
      </c>
      <c r="C146" s="13">
        <v>4303</v>
      </c>
      <c r="D146" s="13">
        <v>642120</v>
      </c>
      <c r="E146" s="3">
        <v>6.7</v>
      </c>
      <c r="F146" s="3">
        <v>36.5</v>
      </c>
      <c r="G146" s="3">
        <v>34</v>
      </c>
    </row>
    <row r="147" spans="1:7" ht="15.75" customHeight="1" x14ac:dyDescent="0.25">
      <c r="A147" s="3">
        <v>2022</v>
      </c>
      <c r="B147" s="3" t="s">
        <v>8</v>
      </c>
      <c r="C147" s="13">
        <v>2339</v>
      </c>
      <c r="D147" s="13">
        <v>361498</v>
      </c>
      <c r="E147" s="3">
        <v>6.5</v>
      </c>
      <c r="F147" s="3">
        <v>35.5</v>
      </c>
      <c r="G147" s="3">
        <v>33</v>
      </c>
    </row>
    <row r="148" spans="1:7" ht="15.75" customHeight="1" x14ac:dyDescent="0.25">
      <c r="A148" s="3">
        <v>2022</v>
      </c>
      <c r="B148" s="3" t="s">
        <v>9</v>
      </c>
      <c r="C148" s="13">
        <v>6376</v>
      </c>
      <c r="D148" s="13">
        <v>915059</v>
      </c>
      <c r="E148" s="3">
        <v>7</v>
      </c>
      <c r="F148" s="3">
        <v>35.700000000000003</v>
      </c>
      <c r="G148" s="3">
        <v>33.299999999999997</v>
      </c>
    </row>
    <row r="149" spans="1:7" ht="15.75" customHeight="1" x14ac:dyDescent="0.25">
      <c r="A149" s="3">
        <v>2022</v>
      </c>
      <c r="B149" s="3" t="s">
        <v>10</v>
      </c>
      <c r="C149" s="13">
        <v>41833</v>
      </c>
      <c r="D149" s="13">
        <v>5777077</v>
      </c>
      <c r="E149" s="3">
        <v>7.2</v>
      </c>
      <c r="F149" s="3">
        <v>35.200000000000003</v>
      </c>
      <c r="G149" s="3">
        <v>32.9</v>
      </c>
    </row>
    <row r="150" spans="1:7" ht="15.75" customHeight="1" x14ac:dyDescent="0.25">
      <c r="A150" s="3">
        <v>2022</v>
      </c>
      <c r="B150" s="3" t="s">
        <v>11</v>
      </c>
      <c r="C150" s="13">
        <v>5612</v>
      </c>
      <c r="D150" s="13">
        <v>845871</v>
      </c>
      <c r="E150" s="3">
        <v>6.6</v>
      </c>
      <c r="F150" s="3">
        <v>35.700000000000003</v>
      </c>
      <c r="G150" s="3">
        <v>33.200000000000003</v>
      </c>
    </row>
    <row r="151" spans="1:7" ht="15.75" customHeight="1" x14ac:dyDescent="0.25">
      <c r="A151" s="3">
        <v>2022</v>
      </c>
      <c r="B151" s="3" t="s">
        <v>12</v>
      </c>
      <c r="C151" s="13">
        <v>3700</v>
      </c>
      <c r="D151" s="13">
        <v>607188</v>
      </c>
      <c r="E151" s="3">
        <v>6.1</v>
      </c>
      <c r="F151" s="3">
        <v>34.6</v>
      </c>
      <c r="G151" s="3">
        <v>32.4</v>
      </c>
    </row>
    <row r="152" spans="1:7" ht="15.75" customHeight="1" x14ac:dyDescent="0.25">
      <c r="A152" s="3">
        <v>2022</v>
      </c>
      <c r="B152" s="3" t="s">
        <v>13</v>
      </c>
      <c r="C152" s="13">
        <v>2964</v>
      </c>
      <c r="D152" s="13">
        <v>421459</v>
      </c>
      <c r="E152" s="3">
        <v>7</v>
      </c>
      <c r="F152" s="3">
        <v>35.700000000000003</v>
      </c>
      <c r="G152" s="3">
        <v>32.6</v>
      </c>
    </row>
    <row r="153" spans="1:7" ht="15.75" customHeight="1" x14ac:dyDescent="0.25">
      <c r="A153" s="3">
        <v>2022</v>
      </c>
      <c r="B153" s="3" t="s">
        <v>14</v>
      </c>
      <c r="C153" s="13">
        <v>5549</v>
      </c>
      <c r="D153" s="13">
        <v>800012</v>
      </c>
      <c r="E153" s="3">
        <v>6.9</v>
      </c>
      <c r="F153" s="3">
        <v>35.700000000000003</v>
      </c>
      <c r="G153" s="3">
        <v>33.200000000000003</v>
      </c>
    </row>
    <row r="154" spans="1:7" ht="15.75" customHeight="1" x14ac:dyDescent="0.25">
      <c r="A154" s="3">
        <v>2022</v>
      </c>
      <c r="B154" s="3" t="s">
        <v>15</v>
      </c>
      <c r="C154" s="13">
        <v>4665</v>
      </c>
      <c r="D154" s="13">
        <v>714484</v>
      </c>
      <c r="E154" s="3">
        <v>6.5</v>
      </c>
      <c r="F154" s="3">
        <v>36.4</v>
      </c>
      <c r="G154" s="3">
        <v>33.6</v>
      </c>
    </row>
    <row r="155" spans="1:7" ht="15.75" customHeight="1" x14ac:dyDescent="0.25">
      <c r="A155" s="3">
        <v>2022</v>
      </c>
      <c r="B155" s="3" t="s">
        <v>16</v>
      </c>
      <c r="C155" s="13">
        <v>1644</v>
      </c>
      <c r="D155" s="13">
        <v>218255</v>
      </c>
      <c r="E155" s="3">
        <v>7.5</v>
      </c>
      <c r="F155" s="3">
        <v>38.1</v>
      </c>
      <c r="G155" s="3">
        <v>34.5</v>
      </c>
    </row>
    <row r="156" spans="1:7" ht="15.75" customHeight="1" x14ac:dyDescent="0.25">
      <c r="A156" s="3">
        <v>2022</v>
      </c>
      <c r="B156" s="3" t="s">
        <v>17</v>
      </c>
      <c r="C156" s="13">
        <v>7496</v>
      </c>
      <c r="D156" s="13">
        <v>1139119</v>
      </c>
      <c r="E156" s="3">
        <v>6.6</v>
      </c>
      <c r="F156" s="3">
        <v>35.4</v>
      </c>
      <c r="G156" s="3">
        <v>33.1</v>
      </c>
    </row>
    <row r="157" spans="1:7" ht="15.75" customHeight="1" x14ac:dyDescent="0.25">
      <c r="A157" s="3">
        <v>2022</v>
      </c>
      <c r="B157" s="3" t="s">
        <v>18</v>
      </c>
      <c r="C157" s="13">
        <v>9438</v>
      </c>
      <c r="D157" s="13">
        <v>1477427</v>
      </c>
      <c r="E157" s="3">
        <v>6.4</v>
      </c>
      <c r="F157" s="3">
        <v>37.6</v>
      </c>
      <c r="G157" s="3">
        <v>34.799999999999997</v>
      </c>
    </row>
    <row r="158" spans="1:7" ht="15.75" customHeight="1" x14ac:dyDescent="0.25">
      <c r="A158" s="3">
        <v>2022</v>
      </c>
      <c r="B158" s="3" t="s">
        <v>19</v>
      </c>
      <c r="C158" s="13">
        <v>9011</v>
      </c>
      <c r="D158" s="13">
        <v>1331466</v>
      </c>
      <c r="E158" s="3">
        <v>6.8</v>
      </c>
      <c r="F158" s="3">
        <v>36.200000000000003</v>
      </c>
      <c r="G158" s="3">
        <v>33.700000000000003</v>
      </c>
    </row>
    <row r="159" spans="1:7" ht="15.75" customHeight="1" x14ac:dyDescent="0.25">
      <c r="A159" s="3">
        <v>2022</v>
      </c>
      <c r="B159" s="3" t="s">
        <v>20</v>
      </c>
      <c r="C159" s="13">
        <v>15024</v>
      </c>
      <c r="D159" s="13">
        <v>2039105</v>
      </c>
      <c r="E159" s="3">
        <v>7.4</v>
      </c>
      <c r="F159" s="3">
        <v>35.299999999999997</v>
      </c>
      <c r="G159" s="3">
        <v>32.799999999999997</v>
      </c>
    </row>
    <row r="160" spans="1:7" ht="15.75" customHeight="1" x14ac:dyDescent="0.25">
      <c r="A160" s="3">
        <v>2022</v>
      </c>
      <c r="B160" s="3" t="s">
        <v>21</v>
      </c>
      <c r="C160" s="13">
        <v>16696</v>
      </c>
      <c r="D160" s="13">
        <v>2142243</v>
      </c>
      <c r="E160" s="3">
        <v>7.8</v>
      </c>
      <c r="F160" s="3">
        <v>35.5</v>
      </c>
      <c r="G160" s="3">
        <v>32.9</v>
      </c>
    </row>
    <row r="161" spans="1:7" ht="15.75" customHeight="1" x14ac:dyDescent="0.25">
      <c r="A161" s="3">
        <v>2022</v>
      </c>
      <c r="B161" s="3" t="s">
        <v>22</v>
      </c>
      <c r="C161" s="13">
        <v>110116</v>
      </c>
      <c r="D161" s="13">
        <v>16984213</v>
      </c>
      <c r="E161" s="3">
        <v>6.5</v>
      </c>
      <c r="F161" s="3">
        <v>35.700000000000003</v>
      </c>
      <c r="G161" s="3">
        <v>33.200000000000003</v>
      </c>
    </row>
    <row r="162" spans="1:7" ht="15.75" customHeight="1" x14ac:dyDescent="0.25">
      <c r="A162" s="3">
        <v>2023</v>
      </c>
      <c r="B162" s="3" t="s">
        <v>7</v>
      </c>
      <c r="C162" s="3">
        <v>4026</v>
      </c>
      <c r="D162" s="3">
        <v>644680</v>
      </c>
      <c r="E162" s="3">
        <v>6.2</v>
      </c>
      <c r="F162" s="3">
        <v>36.799999999999997</v>
      </c>
      <c r="G162" s="3">
        <v>34.200000000000003</v>
      </c>
    </row>
    <row r="163" spans="1:7" ht="15.75" customHeight="1" x14ac:dyDescent="0.25">
      <c r="A163" s="3">
        <v>2023</v>
      </c>
      <c r="B163" s="3" t="s">
        <v>8</v>
      </c>
      <c r="C163" s="3">
        <v>2261</v>
      </c>
      <c r="D163" s="3">
        <v>363349</v>
      </c>
      <c r="E163" s="3">
        <v>6.2</v>
      </c>
      <c r="F163" s="3">
        <v>35.299999999999997</v>
      </c>
      <c r="G163" s="3">
        <v>33.1</v>
      </c>
    </row>
    <row r="164" spans="1:7" ht="15.75" customHeight="1" x14ac:dyDescent="0.25">
      <c r="A164" s="3">
        <v>2023</v>
      </c>
      <c r="B164" s="3" t="s">
        <v>9</v>
      </c>
      <c r="C164" s="3">
        <v>6107</v>
      </c>
      <c r="D164" s="3">
        <v>920452</v>
      </c>
      <c r="E164" s="3">
        <v>6.6</v>
      </c>
      <c r="F164" s="3">
        <v>35.799999999999997</v>
      </c>
      <c r="G164" s="3">
        <v>33.5</v>
      </c>
    </row>
    <row r="165" spans="1:7" ht="15.75" customHeight="1" x14ac:dyDescent="0.25">
      <c r="A165" s="3">
        <v>2023</v>
      </c>
      <c r="B165" s="3" t="s">
        <v>10</v>
      </c>
      <c r="C165" s="3">
        <v>39612</v>
      </c>
      <c r="D165" s="3">
        <v>5837667</v>
      </c>
      <c r="E165" s="3">
        <v>6.8</v>
      </c>
      <c r="F165" s="3">
        <v>35.4</v>
      </c>
      <c r="G165" s="3">
        <v>33.1</v>
      </c>
    </row>
    <row r="166" spans="1:7" ht="15.75" customHeight="1" x14ac:dyDescent="0.25">
      <c r="A166" s="3">
        <v>2023</v>
      </c>
      <c r="B166" s="3" t="s">
        <v>11</v>
      </c>
      <c r="C166" s="3">
        <v>5418</v>
      </c>
      <c r="D166" s="3">
        <v>851211</v>
      </c>
      <c r="E166" s="3">
        <v>6.4</v>
      </c>
      <c r="F166" s="3">
        <v>36.299999999999997</v>
      </c>
      <c r="G166" s="3">
        <v>33.9</v>
      </c>
    </row>
    <row r="167" spans="1:7" ht="15.75" customHeight="1" x14ac:dyDescent="0.25">
      <c r="A167" s="3">
        <v>2023</v>
      </c>
      <c r="B167" s="3" t="s">
        <v>12</v>
      </c>
      <c r="C167" s="3">
        <v>3647</v>
      </c>
      <c r="D167" s="3">
        <v>610866</v>
      </c>
      <c r="E167" s="3">
        <v>6</v>
      </c>
      <c r="F167" s="3">
        <v>35.1</v>
      </c>
      <c r="G167" s="3">
        <v>32.9</v>
      </c>
    </row>
    <row r="168" spans="1:7" ht="15.75" customHeight="1" x14ac:dyDescent="0.25">
      <c r="A168" s="3">
        <v>2023</v>
      </c>
      <c r="B168" s="3" t="s">
        <v>13</v>
      </c>
      <c r="C168" s="3">
        <v>2998</v>
      </c>
      <c r="D168" s="3">
        <v>423453</v>
      </c>
      <c r="E168" s="3">
        <v>7.1</v>
      </c>
      <c r="F168" s="3">
        <v>35.799999999999997</v>
      </c>
      <c r="G168" s="3">
        <v>32.6</v>
      </c>
    </row>
    <row r="169" spans="1:7" ht="15.75" customHeight="1" x14ac:dyDescent="0.25">
      <c r="A169" s="3">
        <v>2023</v>
      </c>
      <c r="B169" s="3" t="s">
        <v>14</v>
      </c>
      <c r="C169" s="3">
        <v>5236</v>
      </c>
      <c r="D169" s="3">
        <v>802623</v>
      </c>
      <c r="E169" s="3">
        <v>6.5</v>
      </c>
      <c r="F169" s="3">
        <v>36</v>
      </c>
      <c r="G169" s="3">
        <v>33.6</v>
      </c>
    </row>
    <row r="170" spans="1:7" ht="15.75" customHeight="1" x14ac:dyDescent="0.25">
      <c r="A170" s="3">
        <v>2023</v>
      </c>
      <c r="B170" s="3" t="s">
        <v>15</v>
      </c>
      <c r="C170" s="3">
        <v>4417</v>
      </c>
      <c r="D170" s="3">
        <v>716587</v>
      </c>
      <c r="E170" s="3">
        <v>6.2</v>
      </c>
      <c r="F170" s="3">
        <v>36.4</v>
      </c>
      <c r="G170" s="3">
        <v>33.9</v>
      </c>
    </row>
    <row r="171" spans="1:7" ht="15.75" customHeight="1" x14ac:dyDescent="0.25">
      <c r="A171" s="3">
        <v>2023</v>
      </c>
      <c r="B171" s="3" t="s">
        <v>16</v>
      </c>
      <c r="C171" s="3">
        <v>1616</v>
      </c>
      <c r="D171" s="3">
        <v>219308</v>
      </c>
      <c r="E171" s="3">
        <v>7.4</v>
      </c>
      <c r="F171" s="3">
        <v>37.799999999999997</v>
      </c>
      <c r="G171" s="3">
        <v>34.4</v>
      </c>
    </row>
    <row r="172" spans="1:7" ht="15.75" customHeight="1" x14ac:dyDescent="0.25">
      <c r="A172" s="3">
        <v>2023</v>
      </c>
      <c r="B172" s="3" t="s">
        <v>17</v>
      </c>
      <c r="C172" s="3">
        <v>7182</v>
      </c>
      <c r="D172" s="3">
        <v>1150280</v>
      </c>
      <c r="E172" s="3">
        <v>6.2</v>
      </c>
      <c r="F172" s="3">
        <v>35.9</v>
      </c>
      <c r="G172" s="3">
        <v>33.5</v>
      </c>
    </row>
    <row r="173" spans="1:7" ht="15.75" customHeight="1" x14ac:dyDescent="0.25">
      <c r="A173" s="3">
        <v>2023</v>
      </c>
      <c r="B173" s="3" t="s">
        <v>18</v>
      </c>
      <c r="C173" s="3">
        <v>9213</v>
      </c>
      <c r="D173" s="3">
        <v>1489703</v>
      </c>
      <c r="E173" s="3">
        <v>6.2</v>
      </c>
      <c r="F173" s="3">
        <v>38</v>
      </c>
      <c r="G173" s="3">
        <v>35.200000000000003</v>
      </c>
    </row>
    <row r="174" spans="1:7" ht="15.75" customHeight="1" x14ac:dyDescent="0.25">
      <c r="A174" s="3">
        <v>2023</v>
      </c>
      <c r="B174" s="3" t="s">
        <v>19</v>
      </c>
      <c r="C174" s="3">
        <v>8648</v>
      </c>
      <c r="D174" s="3">
        <v>1343666</v>
      </c>
      <c r="E174" s="3">
        <v>6.4</v>
      </c>
      <c r="F174" s="3">
        <v>36.299999999999997</v>
      </c>
      <c r="G174" s="3">
        <v>34</v>
      </c>
    </row>
    <row r="175" spans="1:7" ht="15.75" customHeight="1" x14ac:dyDescent="0.25">
      <c r="A175" s="3">
        <v>2023</v>
      </c>
      <c r="B175" s="3" t="s">
        <v>20</v>
      </c>
      <c r="C175" s="3">
        <v>14949</v>
      </c>
      <c r="D175" s="3">
        <v>2059017</v>
      </c>
      <c r="E175" s="3">
        <v>7.3</v>
      </c>
      <c r="F175" s="3">
        <v>35.6</v>
      </c>
      <c r="G175" s="3">
        <v>33</v>
      </c>
    </row>
    <row r="176" spans="1:7" ht="15.75" customHeight="1" x14ac:dyDescent="0.25">
      <c r="A176" s="3">
        <v>2023</v>
      </c>
      <c r="B176" s="3" t="s">
        <v>21</v>
      </c>
      <c r="C176" s="3">
        <v>16200</v>
      </c>
      <c r="D176" s="3">
        <v>2170392</v>
      </c>
      <c r="E176" s="3">
        <v>7.5</v>
      </c>
      <c r="F176" s="3">
        <v>35.5</v>
      </c>
      <c r="G176" s="3">
        <v>33.1</v>
      </c>
    </row>
    <row r="177" spans="1:7" ht="15.75" customHeight="1" x14ac:dyDescent="0.25">
      <c r="A177" s="3">
        <v>2023</v>
      </c>
      <c r="B177" s="3" t="s">
        <v>22</v>
      </c>
      <c r="C177" s="3">
        <v>103685</v>
      </c>
      <c r="D177" s="3">
        <v>17071295</v>
      </c>
      <c r="E177" s="3">
        <v>6.1</v>
      </c>
      <c r="F177" s="3">
        <v>35.799999999999997</v>
      </c>
      <c r="G177" s="3">
        <v>33.5</v>
      </c>
    </row>
    <row r="178" spans="1:7" ht="15.75" customHeight="1" x14ac:dyDescent="0.25">
      <c r="A178" s="3">
        <v>2024</v>
      </c>
      <c r="B178" s="3" t="s">
        <v>7</v>
      </c>
      <c r="C178" s="3">
        <v>4213</v>
      </c>
      <c r="D178" s="3">
        <v>646644</v>
      </c>
      <c r="E178" s="3">
        <v>6.5</v>
      </c>
      <c r="F178" s="3">
        <v>36.81</v>
      </c>
      <c r="G178" s="3">
        <v>34.450000000000003</v>
      </c>
    </row>
    <row r="179" spans="1:7" ht="15.75" customHeight="1" x14ac:dyDescent="0.25">
      <c r="A179" s="3">
        <v>2024</v>
      </c>
      <c r="B179" s="3" t="s">
        <v>8</v>
      </c>
      <c r="C179" s="3">
        <v>2226</v>
      </c>
      <c r="D179" s="3">
        <v>364725</v>
      </c>
      <c r="E179" s="3">
        <v>6.1</v>
      </c>
      <c r="F179" s="3">
        <v>36.17</v>
      </c>
      <c r="G179" s="3">
        <v>33.840000000000003</v>
      </c>
    </row>
    <row r="180" spans="1:7" ht="15.75" customHeight="1" x14ac:dyDescent="0.25">
      <c r="A180" s="3">
        <v>2024</v>
      </c>
      <c r="B180" s="3" t="s">
        <v>9</v>
      </c>
      <c r="C180" s="3">
        <v>6127</v>
      </c>
      <c r="D180" s="3">
        <v>924846</v>
      </c>
      <c r="E180" s="3">
        <v>6.6</v>
      </c>
      <c r="F180" s="3">
        <v>36.1</v>
      </c>
      <c r="G180" s="3">
        <v>33.75</v>
      </c>
    </row>
    <row r="181" spans="1:7" ht="15.75" customHeight="1" x14ac:dyDescent="0.25">
      <c r="A181" s="3">
        <v>2024</v>
      </c>
      <c r="B181" s="3" t="s">
        <v>10</v>
      </c>
      <c r="C181" s="3">
        <v>40810</v>
      </c>
      <c r="D181" s="3">
        <v>5893316</v>
      </c>
      <c r="E181" s="3">
        <v>6.9</v>
      </c>
      <c r="F181" s="3">
        <v>35.56</v>
      </c>
      <c r="G181" s="3">
        <v>33.299999999999997</v>
      </c>
    </row>
    <row r="182" spans="1:7" ht="15.75" customHeight="1" x14ac:dyDescent="0.25">
      <c r="A182" s="3">
        <v>2024</v>
      </c>
      <c r="B182" s="3" t="s">
        <v>11</v>
      </c>
      <c r="C182" s="3">
        <v>5444</v>
      </c>
      <c r="D182" s="3">
        <v>856143</v>
      </c>
      <c r="E182" s="3">
        <v>6.4</v>
      </c>
      <c r="F182" s="3">
        <v>36.46</v>
      </c>
      <c r="G182" s="3">
        <v>34.21</v>
      </c>
    </row>
    <row r="183" spans="1:7" ht="15.75" customHeight="1" x14ac:dyDescent="0.25">
      <c r="A183" s="3">
        <v>2024</v>
      </c>
      <c r="B183" s="3" t="s">
        <v>12</v>
      </c>
      <c r="C183" s="3">
        <v>3814</v>
      </c>
      <c r="D183" s="3">
        <v>614180</v>
      </c>
      <c r="E183" s="3">
        <v>6.2</v>
      </c>
      <c r="F183" s="3">
        <v>35.14</v>
      </c>
      <c r="G183" s="3">
        <v>32.700000000000003</v>
      </c>
    </row>
    <row r="184" spans="1:7" ht="15.75" customHeight="1" x14ac:dyDescent="0.25">
      <c r="A184" s="3">
        <v>2024</v>
      </c>
      <c r="B184" s="3" t="s">
        <v>13</v>
      </c>
      <c r="C184" s="3">
        <v>3072</v>
      </c>
      <c r="D184" s="3">
        <v>425456</v>
      </c>
      <c r="E184" s="3">
        <v>7.2</v>
      </c>
      <c r="F184" s="3">
        <v>35.64</v>
      </c>
      <c r="G184" s="3">
        <v>33.020000000000003</v>
      </c>
    </row>
    <row r="185" spans="1:7" ht="15.75" customHeight="1" x14ac:dyDescent="0.25">
      <c r="A185" s="3">
        <v>2024</v>
      </c>
      <c r="B185" s="3" t="s">
        <v>14</v>
      </c>
      <c r="C185" s="3">
        <v>5350</v>
      </c>
      <c r="D185" s="3">
        <v>804756</v>
      </c>
      <c r="E185" s="3">
        <v>6.7</v>
      </c>
      <c r="F185" s="3">
        <v>36.479999999999997</v>
      </c>
      <c r="G185" s="3">
        <v>33.950000000000003</v>
      </c>
    </row>
    <row r="186" spans="1:7" ht="15.75" customHeight="1" x14ac:dyDescent="0.25">
      <c r="A186" s="3">
        <v>2024</v>
      </c>
      <c r="B186" s="3" t="s">
        <v>15</v>
      </c>
      <c r="C186" s="3">
        <v>4483</v>
      </c>
      <c r="D186" s="3">
        <v>718820</v>
      </c>
      <c r="E186" s="3">
        <v>6.2</v>
      </c>
      <c r="F186" s="3">
        <v>36.729999999999997</v>
      </c>
      <c r="G186" s="3">
        <v>34.1</v>
      </c>
    </row>
    <row r="187" spans="1:7" ht="15.75" customHeight="1" x14ac:dyDescent="0.25">
      <c r="A187" s="3">
        <v>2024</v>
      </c>
      <c r="B187" s="3" t="s">
        <v>16</v>
      </c>
      <c r="C187" s="3">
        <v>1637</v>
      </c>
      <c r="D187" s="3">
        <v>220170</v>
      </c>
      <c r="E187" s="3">
        <v>7.4</v>
      </c>
      <c r="F187" s="3">
        <v>38.020000000000003</v>
      </c>
      <c r="G187" s="3">
        <v>34.659999999999997</v>
      </c>
    </row>
    <row r="188" spans="1:7" ht="15.75" customHeight="1" x14ac:dyDescent="0.25">
      <c r="A188" s="3">
        <v>2024</v>
      </c>
      <c r="B188" s="3" t="s">
        <v>17</v>
      </c>
      <c r="C188" s="3">
        <v>7403</v>
      </c>
      <c r="D188" s="3">
        <v>1160390</v>
      </c>
      <c r="E188" s="3">
        <v>6.4</v>
      </c>
      <c r="F188" s="3">
        <v>35.75</v>
      </c>
      <c r="G188" s="3">
        <v>33.57</v>
      </c>
    </row>
    <row r="189" spans="1:7" ht="15.75" customHeight="1" x14ac:dyDescent="0.25">
      <c r="A189" s="3">
        <v>2024</v>
      </c>
      <c r="B189" s="3" t="s">
        <v>18</v>
      </c>
      <c r="C189" s="3">
        <v>9317</v>
      </c>
      <c r="D189" s="3">
        <v>1500100</v>
      </c>
      <c r="E189" s="3">
        <v>6.2</v>
      </c>
      <c r="F189" s="3">
        <v>38.04</v>
      </c>
      <c r="G189" s="3">
        <v>35.39</v>
      </c>
    </row>
    <row r="190" spans="1:7" ht="15.75" customHeight="1" x14ac:dyDescent="0.25">
      <c r="A190" s="3">
        <v>2024</v>
      </c>
      <c r="B190" s="3" t="s">
        <v>19</v>
      </c>
      <c r="C190" s="3">
        <v>9002</v>
      </c>
      <c r="D190" s="3">
        <v>1354835</v>
      </c>
      <c r="E190" s="3">
        <v>6.6</v>
      </c>
      <c r="F190" s="3">
        <v>36.270000000000003</v>
      </c>
      <c r="G190" s="3">
        <v>34.020000000000003</v>
      </c>
    </row>
    <row r="191" spans="1:7" ht="15.75" customHeight="1" x14ac:dyDescent="0.25">
      <c r="A191" s="3">
        <v>2024</v>
      </c>
      <c r="B191" s="3" t="s">
        <v>20</v>
      </c>
      <c r="C191" s="3">
        <v>14938</v>
      </c>
      <c r="D191" s="3">
        <v>2076843</v>
      </c>
      <c r="E191" s="3">
        <v>7.2</v>
      </c>
      <c r="F191" s="3">
        <v>35.74</v>
      </c>
      <c r="G191" s="3">
        <v>33.29</v>
      </c>
    </row>
    <row r="192" spans="1:7" ht="15.75" customHeight="1" x14ac:dyDescent="0.25">
      <c r="A192" s="3">
        <v>2024</v>
      </c>
      <c r="B192" s="3" t="s">
        <v>21</v>
      </c>
      <c r="C192" s="3">
        <v>16582</v>
      </c>
      <c r="D192" s="3">
        <v>2196652</v>
      </c>
      <c r="E192" s="3">
        <v>7.6</v>
      </c>
      <c r="F192" s="3">
        <v>35.659999999999997</v>
      </c>
      <c r="G192" s="3">
        <v>33.35</v>
      </c>
    </row>
    <row r="193" spans="1:7" ht="15.75" customHeight="1" x14ac:dyDescent="0.25">
      <c r="A193" s="3">
        <v>2024</v>
      </c>
      <c r="B193" s="3" t="s">
        <v>22</v>
      </c>
      <c r="C193" s="3">
        <v>103432</v>
      </c>
      <c r="D193" s="3">
        <v>17143326</v>
      </c>
      <c r="E193" s="3">
        <v>6</v>
      </c>
      <c r="F193" s="3">
        <v>35.9</v>
      </c>
      <c r="G193" s="3">
        <v>33.590000000000003</v>
      </c>
    </row>
    <row r="194" spans="1:7" ht="15.75" customHeight="1" x14ac:dyDescent="0.25"/>
    <row r="195" spans="1:7" ht="15.75" customHeight="1" x14ac:dyDescent="0.25"/>
    <row r="196" spans="1:7" ht="15.75" customHeight="1" x14ac:dyDescent="0.25"/>
    <row r="197" spans="1:7" ht="15.75" customHeight="1" x14ac:dyDescent="0.25"/>
    <row r="198" spans="1:7" ht="15.75" customHeight="1" x14ac:dyDescent="0.25"/>
    <row r="199" spans="1:7" ht="15.75" customHeight="1" x14ac:dyDescent="0.25"/>
    <row r="200" spans="1:7" ht="15.75" customHeight="1" x14ac:dyDescent="0.25"/>
    <row r="201" spans="1:7" ht="15.75" customHeight="1" x14ac:dyDescent="0.25"/>
    <row r="202" spans="1:7" ht="15.75" customHeight="1" x14ac:dyDescent="0.25"/>
    <row r="203" spans="1:7" ht="15.75" customHeight="1" x14ac:dyDescent="0.25"/>
    <row r="204" spans="1:7" ht="15.75" customHeight="1" x14ac:dyDescent="0.25"/>
    <row r="205" spans="1:7" ht="15.75" customHeight="1" x14ac:dyDescent="0.25"/>
    <row r="206" spans="1:7" ht="15.75" customHeight="1" x14ac:dyDescent="0.25"/>
    <row r="207" spans="1:7" ht="15.75" customHeight="1" x14ac:dyDescent="0.25"/>
    <row r="208" spans="1:7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D22" sqref="D22"/>
    </sheetView>
  </sheetViews>
  <sheetFormatPr defaultColWidth="14.42578125" defaultRowHeight="15" customHeight="1" x14ac:dyDescent="0.25"/>
  <cols>
    <col min="1" max="1" width="22.7109375" customWidth="1"/>
    <col min="2" max="3" width="8.7109375" customWidth="1"/>
    <col min="4" max="4" width="34.5703125" customWidth="1"/>
    <col min="5" max="26" width="8.7109375" customWidth="1"/>
  </cols>
  <sheetData>
    <row r="1" spans="1:4" x14ac:dyDescent="0.25">
      <c r="A1" s="1" t="s">
        <v>23</v>
      </c>
      <c r="B1" s="2"/>
      <c r="C1" s="2"/>
      <c r="D1" s="2"/>
    </row>
    <row r="2" spans="1:4" x14ac:dyDescent="0.25">
      <c r="A2" s="3" t="s">
        <v>20</v>
      </c>
      <c r="B2" s="3">
        <f>SUMIF(nupcialidade!$B$1:$B$1048564,A2,nupcialidade!$C$1:$C$1048564)</f>
        <v>196082</v>
      </c>
      <c r="C2" s="4"/>
      <c r="D2" s="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E6" sqref="E6"/>
    </sheetView>
  </sheetViews>
  <sheetFormatPr defaultColWidth="14.42578125" defaultRowHeight="15" customHeight="1" x14ac:dyDescent="0.25"/>
  <cols>
    <col min="1" max="4" width="8.7109375" customWidth="1"/>
    <col min="5" max="5" width="13.7109375" customWidth="1"/>
    <col min="6" max="26" width="8.7109375" customWidth="1"/>
  </cols>
  <sheetData>
    <row r="1" spans="1:5" x14ac:dyDescent="0.25">
      <c r="A1" s="14" t="s">
        <v>24</v>
      </c>
      <c r="B1" s="15"/>
      <c r="C1" s="15"/>
      <c r="D1" s="15"/>
      <c r="E1" s="15"/>
    </row>
    <row r="2" spans="1:5" x14ac:dyDescent="0.25">
      <c r="A2" s="3">
        <f>COUNTIF(nupcialidade!$E$2:$E$1048564,"&gt;7")</f>
        <v>126</v>
      </c>
      <c r="B2" s="4"/>
      <c r="C2" s="4"/>
      <c r="D2" s="4"/>
      <c r="E2" s="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selection activeCell="G15" sqref="G15"/>
    </sheetView>
  </sheetViews>
  <sheetFormatPr defaultColWidth="14.42578125" defaultRowHeight="15" customHeight="1" x14ac:dyDescent="0.25"/>
  <cols>
    <col min="1" max="26" width="8.7109375" customWidth="1"/>
  </cols>
  <sheetData>
    <row r="1" spans="1:5" x14ac:dyDescent="0.25">
      <c r="A1" s="17" t="s">
        <v>25</v>
      </c>
      <c r="B1" s="18"/>
      <c r="C1" s="18"/>
      <c r="D1" s="18"/>
      <c r="E1" s="18"/>
    </row>
    <row r="2" spans="1:5" x14ac:dyDescent="0.25">
      <c r="A2" s="6">
        <v>2013</v>
      </c>
      <c r="B2" s="3">
        <f>AVERAGEIF(nupcialidade!A:A,A2,nupcialidade!F:F)</f>
        <v>32.837499999999999</v>
      </c>
      <c r="C2" s="4"/>
      <c r="D2" s="4"/>
      <c r="E2" s="4"/>
    </row>
    <row r="3" spans="1:5" x14ac:dyDescent="0.25">
      <c r="A3" s="6">
        <v>2014</v>
      </c>
      <c r="B3" s="3">
        <f>AVERAGEIF(nupcialidade!A:A,A3,nupcialidade!F:F)</f>
        <v>33.149999999999991</v>
      </c>
      <c r="C3" s="4"/>
      <c r="D3" s="4"/>
      <c r="E3" s="4"/>
    </row>
    <row r="4" spans="1:5" x14ac:dyDescent="0.25">
      <c r="A4" s="6">
        <v>2015</v>
      </c>
      <c r="B4" s="3">
        <f>AVERAGEIF(nupcialidade!A:A,A4,nupcialidade!F:F)</f>
        <v>33.368750000000006</v>
      </c>
      <c r="C4" s="4"/>
      <c r="D4" s="4"/>
      <c r="E4" s="4"/>
    </row>
    <row r="5" spans="1:5" x14ac:dyDescent="0.25">
      <c r="A5" s="6">
        <v>2016</v>
      </c>
      <c r="B5" s="3">
        <f>AVERAGEIF(nupcialidade!A:A,A5,nupcialidade!F:F)</f>
        <v>33.71875</v>
      </c>
      <c r="C5" s="4"/>
      <c r="D5" s="4"/>
      <c r="E5" s="4"/>
    </row>
    <row r="6" spans="1:5" x14ac:dyDescent="0.25">
      <c r="A6" s="6">
        <v>2017</v>
      </c>
      <c r="B6" s="3">
        <f>AVERAGEIF(nupcialidade!A:A,A6,nupcialidade!F:F)</f>
        <v>34.124999999999993</v>
      </c>
      <c r="C6" s="4"/>
      <c r="D6" s="4"/>
      <c r="E6" s="4"/>
    </row>
    <row r="7" spans="1:5" x14ac:dyDescent="0.25">
      <c r="A7" s="6">
        <v>2018</v>
      </c>
      <c r="B7" s="3">
        <f>AVERAGEIF(nupcialidade!A:A,A7,nupcialidade!F:F)</f>
        <v>34.412500000000001</v>
      </c>
      <c r="C7" s="4"/>
      <c r="D7" s="4"/>
      <c r="E7" s="4"/>
    </row>
    <row r="8" spans="1:5" x14ac:dyDescent="0.25">
      <c r="A8" s="6">
        <v>2019</v>
      </c>
      <c r="B8" s="3">
        <f>AVERAGEIF(nupcialidade!A:A,A8,nupcialidade!F:F)</f>
        <v>34.900000000000006</v>
      </c>
      <c r="C8" s="4"/>
      <c r="D8" s="4"/>
      <c r="E8" s="4"/>
    </row>
    <row r="9" spans="1:5" x14ac:dyDescent="0.25">
      <c r="A9" s="6">
        <v>2020</v>
      </c>
      <c r="B9" s="3">
        <f>AVERAGEIF(nupcialidade!A:A,A9,nupcialidade!F:F)</f>
        <v>35.150000000000006</v>
      </c>
      <c r="C9" s="4"/>
      <c r="D9" s="4"/>
      <c r="E9" s="4"/>
    </row>
    <row r="10" spans="1:5" x14ac:dyDescent="0.25">
      <c r="A10" s="6">
        <v>2021</v>
      </c>
      <c r="B10" s="3">
        <f>AVERAGEIF(nupcialidade!A:A,A10,nupcialidade!F:F)</f>
        <v>35.256249999999994</v>
      </c>
      <c r="C10" s="4"/>
      <c r="D10" s="4"/>
      <c r="E10" s="4"/>
    </row>
    <row r="11" spans="1:5" x14ac:dyDescent="0.25">
      <c r="A11" s="6">
        <v>2022</v>
      </c>
      <c r="B11" s="3">
        <f>AVERAGEIF(nupcialidade!A:A,A11,nupcialidade!F:F)</f>
        <v>35.925000000000004</v>
      </c>
      <c r="C11" s="4"/>
      <c r="D11" s="4"/>
      <c r="E11" s="4"/>
    </row>
    <row r="12" spans="1:5" x14ac:dyDescent="0.25">
      <c r="A12" s="6">
        <v>2023</v>
      </c>
      <c r="B12" s="3">
        <f>AVERAGEIF(nupcialidade!A:A,A12,nupcialidade!F:F)</f>
        <v>36.112499999999997</v>
      </c>
      <c r="C12" s="4"/>
      <c r="D12" s="4"/>
      <c r="E12" s="4"/>
    </row>
    <row r="13" spans="1:5" x14ac:dyDescent="0.25">
      <c r="A13" s="6">
        <v>2024</v>
      </c>
      <c r="B13" s="3">
        <f>AVERAGEIF(nupcialidade!A:A,A13,nupcialidade!F:F)</f>
        <v>36.279375000000002</v>
      </c>
      <c r="C13" s="4"/>
      <c r="D13" s="4"/>
      <c r="E13" s="4"/>
    </row>
    <row r="14" spans="1:5" x14ac:dyDescent="0.25">
      <c r="A14" s="5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activeCell="F11" sqref="F11"/>
    </sheetView>
  </sheetViews>
  <sheetFormatPr defaultColWidth="14.42578125" defaultRowHeight="15" customHeight="1" x14ac:dyDescent="0.25"/>
  <cols>
    <col min="1" max="1" width="24.140625" customWidth="1"/>
    <col min="2" max="2" width="16.85546875" customWidth="1"/>
    <col min="3" max="23" width="8.7109375" customWidth="1"/>
  </cols>
  <sheetData>
    <row r="1" spans="1:4" x14ac:dyDescent="0.25">
      <c r="A1" s="17" t="s">
        <v>26</v>
      </c>
      <c r="B1" s="17"/>
      <c r="C1" s="17"/>
      <c r="D1" s="17"/>
    </row>
    <row r="2" spans="1:4" x14ac:dyDescent="0.25">
      <c r="A2" s="3" t="s">
        <v>7</v>
      </c>
      <c r="B2" s="3" t="e">
        <f ca="1">_xludf.IFS(nupcialidade!G2&gt;30, "Foi maior", nupcialidade!G2&lt;31, "Não foi maior")</f>
        <v>#NAME?</v>
      </c>
      <c r="C2" s="4"/>
      <c r="D2" s="4"/>
    </row>
    <row r="3" spans="1:4" x14ac:dyDescent="0.25">
      <c r="A3" s="3" t="s">
        <v>8</v>
      </c>
      <c r="B3" s="3" t="e">
        <f ca="1">_xludf.IFS(nupcialidade!G3&gt;30, "Foi maior", nupcialidade!G3&lt;31, "Não foi maior")</f>
        <v>#NAME?</v>
      </c>
      <c r="C3" s="4"/>
      <c r="D3" s="4"/>
    </row>
    <row r="4" spans="1:4" x14ac:dyDescent="0.25">
      <c r="A4" s="3" t="s">
        <v>9</v>
      </c>
      <c r="B4" s="3" t="e">
        <f ca="1">_xludf.IFS(nupcialidade!G4&gt;30, "Foi maior", nupcialidade!G4&lt;31, "Não foi maior")</f>
        <v>#NAME?</v>
      </c>
      <c r="C4" s="4"/>
      <c r="D4" s="4"/>
    </row>
    <row r="5" spans="1:4" x14ac:dyDescent="0.25">
      <c r="A5" s="3" t="s">
        <v>10</v>
      </c>
      <c r="B5" s="3" t="e">
        <f ca="1">_xludf.IFS(nupcialidade!G5&gt;30, "Foi maior", nupcialidade!G5&lt;31, "Não foi maior")</f>
        <v>#NAME?</v>
      </c>
      <c r="C5" s="4"/>
      <c r="D5" s="4"/>
    </row>
    <row r="6" spans="1:4" x14ac:dyDescent="0.25">
      <c r="A6" s="3" t="s">
        <v>11</v>
      </c>
      <c r="B6" s="3" t="e">
        <f ca="1">_xludf.IFS(nupcialidade!G6&gt;30, "Foi maior", nupcialidade!G6&lt;31, "Não foi maior")</f>
        <v>#NAME?</v>
      </c>
      <c r="C6" s="4"/>
      <c r="D6" s="4"/>
    </row>
    <row r="7" spans="1:4" x14ac:dyDescent="0.25">
      <c r="A7" s="3" t="s">
        <v>12</v>
      </c>
      <c r="B7" s="3" t="e">
        <f ca="1">_xludf.IFS(nupcialidade!G7&gt;30, "Foi maior", nupcialidade!G7&lt;31, "Não foi maior")</f>
        <v>#NAME?</v>
      </c>
      <c r="C7" s="4"/>
      <c r="D7" s="4"/>
    </row>
    <row r="8" spans="1:4" x14ac:dyDescent="0.25">
      <c r="A8" s="3" t="s">
        <v>13</v>
      </c>
      <c r="B8" s="3" t="e">
        <f ca="1">_xludf.IFS(nupcialidade!G8&gt;30, "Foi maior", nupcialidade!G8&lt;31, "Não foi maior")</f>
        <v>#NAME?</v>
      </c>
      <c r="C8" s="4"/>
      <c r="D8" s="4"/>
    </row>
    <row r="9" spans="1:4" x14ac:dyDescent="0.25">
      <c r="A9" s="3" t="s">
        <v>14</v>
      </c>
      <c r="B9" s="3" t="e">
        <f ca="1">_xludf.IFS(nupcialidade!G9&gt;30, "Foi maior", nupcialidade!G9&lt;31, "Não foi maior")</f>
        <v>#NAME?</v>
      </c>
      <c r="C9" s="4"/>
      <c r="D9" s="4"/>
    </row>
    <row r="10" spans="1:4" x14ac:dyDescent="0.25">
      <c r="A10" s="3" t="s">
        <v>15</v>
      </c>
      <c r="B10" s="3" t="e">
        <f ca="1">_xludf.IFS(nupcialidade!G10&gt;30, "Foi maior", nupcialidade!G10&lt;31, "Não foi maior")</f>
        <v>#NAME?</v>
      </c>
      <c r="C10" s="4"/>
      <c r="D10" s="4"/>
    </row>
    <row r="11" spans="1:4" x14ac:dyDescent="0.25">
      <c r="A11" s="3" t="s">
        <v>16</v>
      </c>
      <c r="B11" s="3" t="e">
        <f ca="1">_xludf.IFS(nupcialidade!G11&gt;30, "Foi maior", nupcialidade!G11&lt;31, "Não foi maior")</f>
        <v>#NAME?</v>
      </c>
      <c r="C11" s="4"/>
      <c r="D11" s="4"/>
    </row>
    <row r="12" spans="1:4" x14ac:dyDescent="0.25">
      <c r="A12" s="3" t="s">
        <v>17</v>
      </c>
      <c r="B12" s="3" t="e">
        <f ca="1">_xludf.IFS(nupcialidade!G12&gt;30, "Foi maior", nupcialidade!G12&lt;31, "Não foi maior")</f>
        <v>#NAME?</v>
      </c>
      <c r="C12" s="4"/>
      <c r="D12" s="4"/>
    </row>
    <row r="13" spans="1:4" x14ac:dyDescent="0.25">
      <c r="A13" s="3" t="s">
        <v>18</v>
      </c>
      <c r="B13" s="3" t="e">
        <f ca="1">_xludf.IFS(nupcialidade!G13&gt;30, "Foi maior", nupcialidade!G13&lt;31, "Não foi maior")</f>
        <v>#NAME?</v>
      </c>
      <c r="C13" s="4"/>
      <c r="D13" s="4"/>
    </row>
    <row r="14" spans="1:4" x14ac:dyDescent="0.25">
      <c r="A14" s="3" t="s">
        <v>19</v>
      </c>
      <c r="B14" s="3" t="e">
        <f ca="1">_xludf.IFS(nupcialidade!G14&gt;30, "Foi maior", nupcialidade!G14&lt;31, "Não foi maior")</f>
        <v>#NAME?</v>
      </c>
      <c r="C14" s="4"/>
      <c r="D14" s="4"/>
    </row>
    <row r="15" spans="1:4" x14ac:dyDescent="0.25">
      <c r="A15" s="3" t="s">
        <v>20</v>
      </c>
      <c r="B15" s="3" t="e">
        <f ca="1">_xludf.IFS(nupcialidade!G15&gt;30, "Foi maior", nupcialidade!G15&lt;31, "Não foi maior")</f>
        <v>#NAME?</v>
      </c>
      <c r="C15" s="4"/>
      <c r="D15" s="4"/>
    </row>
    <row r="16" spans="1:4" x14ac:dyDescent="0.25">
      <c r="A16" s="3" t="s">
        <v>21</v>
      </c>
      <c r="B16" s="3" t="e">
        <f ca="1">_xludf.IFS(nupcialidade!G16&gt;30, "Foi maior", nupcialidade!G16&lt;31, "Não foi maior")</f>
        <v>#NAME?</v>
      </c>
      <c r="C16" s="4"/>
      <c r="D16" s="4"/>
    </row>
    <row r="17" spans="1:4" x14ac:dyDescent="0.25">
      <c r="A17" s="3" t="s">
        <v>22</v>
      </c>
      <c r="B17" s="3" t="e">
        <f ca="1">_xludf.IFS(nupcialidade!G17&gt;30, "Foi maior", nupcialidade!G17&lt;31, "Não foi maior")</f>
        <v>#NAME?</v>
      </c>
      <c r="C17" s="4"/>
      <c r="D17" s="4"/>
    </row>
    <row r="21" spans="1:4" ht="15.75" customHeight="1" x14ac:dyDescent="0.25"/>
    <row r="22" spans="1:4" ht="15.75" customHeight="1" x14ac:dyDescent="0.25"/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D1"/>
  </mergeCells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>
      <selection sqref="A1:F1"/>
    </sheetView>
  </sheetViews>
  <sheetFormatPr defaultColWidth="14.42578125" defaultRowHeight="15" customHeight="1" x14ac:dyDescent="0.25"/>
  <cols>
    <col min="1" max="1" width="19.140625" customWidth="1"/>
    <col min="2" max="2" width="14.85546875" customWidth="1"/>
    <col min="3" max="24" width="8.7109375" customWidth="1"/>
  </cols>
  <sheetData>
    <row r="1" spans="1:6" x14ac:dyDescent="0.25">
      <c r="A1" s="16" t="s">
        <v>27</v>
      </c>
      <c r="B1" s="15"/>
      <c r="C1" s="15"/>
      <c r="D1" s="15"/>
      <c r="E1" s="15"/>
      <c r="F1" s="15"/>
    </row>
    <row r="2" spans="1:6" x14ac:dyDescent="0.25">
      <c r="A2" s="7" t="s">
        <v>28</v>
      </c>
      <c r="B2" s="8">
        <v>45973194</v>
      </c>
      <c r="C2" s="4"/>
      <c r="D2" s="4"/>
      <c r="E2" s="4"/>
      <c r="F2" s="4"/>
    </row>
    <row r="3" spans="1:6" x14ac:dyDescent="0.25">
      <c r="A3" s="7" t="s">
        <v>29</v>
      </c>
      <c r="B3" s="9">
        <v>17143326</v>
      </c>
      <c r="C3" s="4"/>
      <c r="D3" s="4"/>
      <c r="E3" s="4"/>
      <c r="F3" s="4"/>
    </row>
    <row r="4" spans="1:6" x14ac:dyDescent="0.25">
      <c r="A4" s="10" t="s">
        <v>30</v>
      </c>
      <c r="B4" s="11">
        <f>B3/B2</f>
        <v>0.37289830243250011</v>
      </c>
      <c r="C4" s="4"/>
      <c r="D4" s="4"/>
      <c r="E4" s="4"/>
      <c r="F4" s="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nupcialidade</vt:lpstr>
      <vt:lpstr>PERGUNTA 1</vt:lpstr>
      <vt:lpstr>PERGUNTA 2</vt:lpstr>
      <vt:lpstr>PERGUNTA 3</vt:lpstr>
      <vt:lpstr>PERGUNTA 4</vt:lpstr>
      <vt:lpstr>PERGUNTA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2026-04-16T22:45:55Z</dcterms:created>
  <dcterms:modified xsi:type="dcterms:W3CDTF">2026-04-16T22:45:55Z</dcterms:modified>
</cp:coreProperties>
</file>