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60FCA7E9-563B-4049-92BA-9F8D2CD63FE5}" xr6:coauthVersionLast="36" xr6:coauthVersionMax="36" xr10:uidLastSave="{00000000-0000-0000-0000-000000000000}"/>
  <bookViews>
    <workbookView xWindow="0" yWindow="0" windowWidth="28800" windowHeight="12105" activeTab="1"/>
  </bookViews>
  <sheets>
    <sheet name="despesa_funcao" sheetId="1" r:id="rId1"/>
    <sheet name="Planilha2" sheetId="3" r:id="rId2"/>
    <sheet name="Planilha1" sheetId="2" r:id="rId3"/>
  </sheets>
  <calcPr calcId="0"/>
  <pivotCaches>
    <pivotCache cacheId="3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</calcChain>
</file>

<file path=xl/sharedStrings.xml><?xml version="1.0" encoding="utf-8"?>
<sst xmlns="http://schemas.openxmlformats.org/spreadsheetml/2006/main" count="2710" uniqueCount="570">
  <si>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</si>
  <si>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</si>
  <si>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</si>
  <si>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</si>
  <si>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</si>
  <si>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</si>
  <si>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</si>
  <si>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</si>
  <si>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</si>
  <si>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</si>
  <si>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</si>
  <si>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</si>
  <si>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</si>
  <si>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</si>
  <si>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</si>
  <si>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</si>
  <si>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</si>
  <si>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</si>
  <si>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</si>
  <si>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</si>
  <si>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</si>
  <si>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</si>
  <si>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</si>
  <si>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</si>
  <si>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</si>
  <si>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</si>
  <si>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</si>
  <si>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</si>
  <si>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</si>
  <si>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</si>
  <si>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</si>
  <si>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</si>
  <si>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</si>
  <si>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</si>
  <si>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</si>
  <si>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</si>
  <si>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</si>
  <si>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</si>
  <si>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</si>
  <si>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</si>
  <si>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</si>
  <si>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</si>
  <si>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</si>
  <si>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</si>
  <si>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</si>
  <si>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</si>
  <si>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</si>
  <si>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</si>
  <si>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</si>
  <si>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</si>
  <si>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</si>
  <si>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</si>
  <si>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</si>
  <si>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</si>
  <si>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</si>
  <si>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</si>
  <si>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</si>
  <si>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</si>
  <si>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</si>
  <si>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</si>
  <si>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</si>
  <si>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</si>
  <si>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</si>
  <si>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</si>
  <si>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</si>
  <si>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</si>
  <si>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</si>
  <si>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</si>
  <si>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</si>
  <si>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</si>
  <si>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</si>
  <si>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</si>
  <si>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</si>
  <si>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</si>
  <si>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</si>
  <si>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</si>
  <si>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</si>
  <si>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</si>
  <si>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</si>
  <si>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</si>
  <si>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</si>
  <si>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</si>
  <si>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</si>
  <si>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</si>
  <si>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</si>
  <si>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</si>
  <si>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</si>
  <si>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</si>
  <si>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</si>
  <si>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</si>
  <si>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</si>
  <si>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</si>
  <si>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</si>
  <si>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</si>
  <si>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</si>
  <si>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</si>
  <si>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</si>
  <si>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</si>
  <si>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</si>
  <si>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</si>
  <si>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</si>
  <si>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</si>
  <si>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</si>
  <si>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</si>
  <si>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</si>
  <si>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</si>
  <si>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</si>
  <si>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</si>
  <si>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</si>
  <si>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</si>
  <si>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</si>
  <si>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</si>
  <si>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</si>
  <si>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</si>
  <si>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</si>
  <si>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</si>
  <si>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</si>
  <si>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</si>
  <si>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</si>
  <si>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</si>
  <si>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</si>
  <si>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</si>
  <si>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</si>
  <si>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</si>
  <si>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</si>
  <si>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</si>
  <si>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</si>
  <si>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</si>
  <si>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</si>
  <si>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</si>
  <si>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</si>
  <si>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</si>
  <si>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</si>
  <si>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</si>
  <si>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</si>
  <si>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</si>
  <si>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</si>
  <si>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</si>
  <si>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</si>
  <si>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</si>
  <si>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</si>
  <si>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</si>
  <si>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</si>
  <si>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</si>
  <si>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</si>
  <si>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</si>
  <si>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</si>
  <si>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</si>
  <si>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</si>
  <si>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</si>
  <si>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</si>
  <si>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</si>
  <si>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</si>
  <si>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</si>
  <si>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</si>
  <si>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</si>
  <si>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</si>
  <si>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</si>
  <si>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</si>
  <si>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</si>
  <si>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</si>
  <si>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</si>
  <si>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</si>
  <si>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</si>
  <si>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</si>
  <si>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</si>
  <si>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</si>
  <si>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</si>
  <si>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</si>
  <si>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</si>
  <si>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</si>
  <si>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</si>
  <si>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</si>
  <si>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</si>
  <si>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</si>
  <si>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</si>
  <si>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</si>
  <si>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</si>
  <si>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</si>
  <si>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</si>
  <si>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</si>
  <si>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</si>
  <si>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</si>
  <si>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</si>
  <si>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</si>
  <si>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</si>
  <si>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</si>
  <si>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</si>
  <si>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</si>
  <si>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</si>
  <si>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</si>
  <si>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</si>
  <si>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</si>
  <si>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</si>
  <si>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</si>
  <si>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</si>
  <si>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</si>
  <si>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</si>
  <si>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</si>
  <si>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</si>
  <si>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</si>
  <si>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</si>
  <si>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</si>
  <si>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</si>
  <si>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</si>
  <si>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</si>
  <si>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</si>
  <si>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</si>
  <si>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</si>
  <si>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</si>
  <si>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</si>
  <si>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</si>
  <si>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</si>
  <si>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</si>
  <si>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</si>
  <si>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</si>
  <si>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</si>
  <si>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</si>
  <si>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</si>
  <si>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</si>
  <si>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</si>
  <si>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</si>
  <si>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</si>
  <si>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</si>
  <si>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</si>
  <si>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</si>
  <si>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</si>
  <si>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</si>
  <si>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</si>
  <si>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</si>
  <si>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</si>
  <si>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</si>
  <si>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</si>
  <si>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</si>
  <si>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</si>
  <si>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</si>
  <si>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</si>
  <si>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</si>
  <si>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</si>
  <si>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</si>
  <si>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</si>
  <si>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</si>
  <si>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</si>
  <si>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</si>
  <si>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</si>
  <si>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</si>
  <si>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</si>
  <si>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</si>
  <si>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</si>
  <si>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</si>
  <si>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</si>
  <si>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</si>
  <si>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</si>
  <si>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</si>
  <si>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</si>
  <si>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</si>
  <si>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</si>
  <si>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</si>
  <si>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</si>
  <si>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</si>
  <si>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</si>
  <si>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</si>
  <si>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</si>
  <si>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</si>
  <si>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</si>
  <si>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</si>
  <si>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</si>
  <si>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</si>
  <si>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</si>
  <si>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</si>
  <si>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</si>
  <si>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</si>
  <si>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</si>
  <si>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</si>
  <si>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</si>
  <si>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</si>
  <si>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</si>
  <si>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</si>
  <si>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</si>
  <si>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</si>
  <si>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</si>
  <si>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</si>
  <si>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</si>
  <si>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</si>
  <si>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</si>
  <si>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</si>
  <si>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</si>
  <si>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</si>
  <si>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</si>
  <si>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</si>
  <si>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</si>
  <si>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</si>
  <si>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</si>
  <si>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</si>
  <si>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</si>
  <si>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</si>
  <si>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</si>
  <si>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</si>
  <si>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</si>
  <si>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</si>
  <si>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</si>
  <si>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</si>
  <si>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</si>
  <si>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</si>
  <si>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</si>
  <si>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</si>
  <si>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</si>
  <si>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</si>
  <si>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</si>
  <si>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</si>
  <si>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</si>
  <si>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</si>
  <si>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</si>
  <si>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</si>
  <si>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</si>
  <si>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</si>
  <si>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</si>
  <si>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</si>
  <si>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</si>
  <si>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</si>
  <si>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</si>
  <si>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</si>
  <si>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</si>
  <si>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</si>
  <si>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</si>
  <si>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</si>
  <si>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</si>
  <si>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</si>
  <si>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</si>
  <si>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</si>
  <si>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</si>
  <si>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</si>
  <si>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</si>
  <si>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</si>
  <si>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</si>
  <si>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</si>
  <si>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</si>
  <si>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</si>
  <si>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</si>
  <si>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</si>
  <si>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</si>
  <si>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</si>
  <si>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</si>
  <si>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</si>
  <si>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</si>
  <si>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</si>
  <si>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</si>
  <si>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</si>
  <si>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</si>
  <si>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</si>
  <si>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</si>
  <si>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</si>
  <si>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</si>
  <si>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</si>
  <si>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</si>
  <si>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</si>
  <si>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</si>
  <si>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</si>
  <si>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</si>
  <si>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</si>
  <si>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</si>
  <si>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</si>
  <si>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</si>
  <si>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</si>
  <si>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</si>
  <si>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</si>
  <si>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</si>
  <si>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</si>
  <si>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</si>
  <si>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</si>
  <si>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</si>
  <si>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</si>
  <si>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</si>
  <si>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</si>
  <si>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</si>
  <si>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</si>
  <si>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</si>
  <si>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</si>
  <si>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</si>
  <si>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</si>
  <si>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</si>
  <si>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</si>
  <si>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</si>
  <si>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</si>
  <si>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</si>
  <si>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</si>
  <si>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</si>
  <si>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</si>
  <si>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</si>
  <si>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</si>
  <si>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</si>
  <si>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</si>
  <si>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</si>
  <si>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</si>
  <si>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</si>
  <si>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</si>
  <si>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</si>
  <si>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</si>
  <si>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</si>
  <si>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</si>
  <si>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</si>
  <si>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</si>
  <si>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</si>
  <si>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</si>
  <si>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</si>
  <si>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</si>
  <si>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</si>
  <si>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</si>
  <si>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</si>
  <si>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</si>
  <si>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</si>
  <si>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</si>
  <si>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</si>
  <si>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</si>
  <si>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</si>
  <si>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</si>
  <si>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</si>
  <si>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</si>
  <si>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</si>
  <si>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</si>
  <si>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</si>
  <si>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</si>
  <si>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</si>
  <si>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</si>
  <si>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</si>
  <si>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</si>
  <si>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</si>
  <si>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</si>
  <si>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</si>
  <si>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</si>
  <si>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</si>
  <si>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</si>
  <si>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</si>
  <si>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</si>
  <si>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</si>
  <si>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</si>
  <si>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</si>
  <si>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</si>
  <si>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</si>
  <si>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</si>
  <si>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</si>
  <si>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</si>
  <si>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</si>
  <si>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</si>
  <si>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</si>
  <si>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</si>
  <si>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</si>
  <si>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</si>
  <si>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</si>
  <si>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</si>
  <si>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</si>
  <si>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</si>
  <si>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</si>
  <si>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</si>
  <si>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</si>
  <si>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</si>
  <si>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</si>
  <si>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</si>
  <si>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</si>
  <si>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</si>
  <si>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</si>
  <si>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</si>
  <si>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</si>
  <si>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</si>
  <si>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</si>
  <si>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</si>
  <si>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</si>
  <si>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</si>
  <si>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</si>
  <si>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</si>
  <si>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</si>
  <si>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</si>
  <si>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</si>
  <si>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</si>
  <si>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</si>
  <si>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</si>
  <si>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</si>
  <si>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</si>
  <si>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</si>
  <si>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</si>
  <si>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</si>
  <si>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</si>
  <si>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</si>
  <si>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</si>
  <si>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</si>
  <si>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</si>
  <si>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</si>
  <si>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</si>
  <si>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</si>
  <si>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</si>
  <si>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</si>
  <si>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</si>
  <si>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</si>
  <si>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</si>
  <si>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</si>
  <si>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</si>
  <si>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</si>
  <si>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</si>
  <si>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</si>
  <si>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</si>
  <si>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</si>
  <si>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</si>
  <si>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</si>
  <si>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</si>
  <si>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</si>
  <si>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</si>
  <si>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</si>
  <si>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</si>
  <si>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</si>
  <si>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</si>
  <si>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</si>
  <si>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</si>
  <si>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</si>
  <si>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</si>
  <si>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</si>
  <si>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</si>
  <si>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</si>
  <si>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</si>
  <si>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</si>
  <si>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</si>
  <si>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</si>
  <si>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</si>
  <si>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</si>
  <si>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</si>
  <si>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</si>
  <si>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</si>
  <si>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</si>
  <si>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</si>
  <si>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</si>
  <si>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</si>
  <si>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</si>
  <si>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</si>
  <si>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</si>
  <si>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</si>
  <si>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</si>
  <si>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</si>
  <si>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</si>
  <si>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</si>
  <si>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</si>
  <si>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</si>
  <si>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</si>
  <si>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</si>
  <si>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</si>
  <si>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</si>
  <si>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</si>
  <si>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</si>
  <si>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</si>
  <si>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</si>
  <si>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</si>
  <si>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</si>
  <si>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</si>
  <si>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</si>
  <si>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</si>
  <si>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</si>
  <si>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</si>
  <si>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</si>
  <si>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</si>
  <si>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</si>
  <si>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</si>
  <si>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</si>
  <si>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</si>
  <si>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</si>
  <si>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</si>
  <si>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Total de Gastos em Fevereiro/2026</t>
  </si>
  <si>
    <t>Total de itens pagos</t>
  </si>
  <si>
    <t>Rótulos de Linha</t>
  </si>
  <si>
    <t>(vazio)</t>
  </si>
  <si>
    <t>Total Geral</t>
  </si>
  <si>
    <t>Soma de Total de Gastos em Fevereiro/2026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</si>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</sst>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" fontId="0" fillId="0" borderId="0" xfId="0" applyNumberFormat="1"/>
    <xf numFmtId="0" fontId="0" fillId="33" borderId="10" xfId="0" applyFont="1" applyFill="1" applyBorder="1"/>
    <xf numFmtId="0" fontId="0" fillId="0" borderId="10" xfId="0" applyFont="1" applyBorder="1"/>
    <xf numFmtId="0" fontId="13" fillId="34" borderId="10" xfId="0" applyFont="1" applyFill="1" applyBorder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[despesa_funcao.xlsx]Planilha2!Tabela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6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6"/>
              </a:solidFill>
              <a:round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cat>
            <c:strRef>
              <c:f>Planilha2!$A$4:$A$21</c:f>
              <c:strCache>
                <c:ptCount val="17"/>
                <c:pt idx="0">
                  <c:v>(vazio)</c:v>
                </c:pt>
                <c:pt idx="1">
                  <c:v>Gabinete do Prefeito</c:v>
                </c:pt>
                <c:pt idx="2">
                  <c:v>SECRETARIA DE INOVAÇÃO E DESENVOLVIMENTO ECONÔMICO</c:v>
                </c:pt>
                <c:pt idx="3">
                  <c:v>SECRETARIA DE HABITAÇÃO E REGULARIZAÇÃO FUNDIÁRIA</c:v>
                </c:pt>
                <c:pt idx="4">
                  <c:v>SECRETARIA DE ASSUNTOS JURÍDICOS</c:v>
                </c:pt>
                <c:pt idx="5">
                  <c:v>SECRETARIA DE URBANISMO E SUSTENTABILIDADE</c:v>
                </c:pt>
                <c:pt idx="6">
                  <c:v>SECRETARIA DE GESTÃO DE OBRAS</c:v>
                </c:pt>
                <c:pt idx="7">
                  <c:v>SECRETARIA DE GOVERNANÇA</c:v>
                </c:pt>
                <c:pt idx="8">
                  <c:v>SECRETARIA DE PROTEÇÃO AO CIDADÃO</c:v>
                </c:pt>
                <c:pt idx="9">
                  <c:v>SECRETARIA DE ESPORTE E QUALIDADE DE VIDA</c:v>
                </c:pt>
                <c:pt idx="10">
                  <c:v>SECRETARIA DE APOIO SOCIAL AO CIDADÃO</c:v>
                </c:pt>
                <c:pt idx="11">
                  <c:v>SECRETARIA DE GESTÃO ADMINISTRATIVA E FINANÇAS</c:v>
                </c:pt>
                <c:pt idx="12">
                  <c:v>SECRETARIA DE MANUTENÇÃO DA CIDADE</c:v>
                </c:pt>
                <c:pt idx="13">
                  <c:v>SECRETARIA DE MOBILIDADE URBANA</c:v>
                </c:pt>
                <c:pt idx="14">
                  <c:v>ENCARGOS GERAIS DO MUNICÍPIO</c:v>
                </c:pt>
                <c:pt idx="15">
                  <c:v>SECRETARIA DE SAÚDE</c:v>
                </c:pt>
                <c:pt idx="16">
                  <c:v>SECRETARIA DE EDUCAÇÃO E CIDADANIA</c:v>
                </c:pt>
              </c:strCache>
            </c:strRef>
          </c:cat>
          <c:val>
            <c:numRef>
              <c:f>Planilha2!$B$4:$B$21</c:f>
              <c:numCache>
                <c:formatCode>General</c:formatCode>
                <c:ptCount val="17"/>
                <c:pt idx="0">
                  <c:v>0</c:v>
                </c:pt>
                <c:pt idx="1">
                  <c:v>67673.06</c:v>
                </c:pt>
                <c:pt idx="2">
                  <c:v>474178.14999999997</c:v>
                </c:pt>
                <c:pt idx="3">
                  <c:v>924217.23</c:v>
                </c:pt>
                <c:pt idx="4">
                  <c:v>1182770.0299999998</c:v>
                </c:pt>
                <c:pt idx="5">
                  <c:v>1644914.53</c:v>
                </c:pt>
                <c:pt idx="6">
                  <c:v>2361341.12</c:v>
                </c:pt>
                <c:pt idx="7">
                  <c:v>3049447.7499999995</c:v>
                </c:pt>
                <c:pt idx="8">
                  <c:v>5438913.9299999978</c:v>
                </c:pt>
                <c:pt idx="9">
                  <c:v>5975771.5599999996</c:v>
                </c:pt>
                <c:pt idx="10">
                  <c:v>8654354.950000003</c:v>
                </c:pt>
                <c:pt idx="11">
                  <c:v>8665883.370000001</c:v>
                </c:pt>
                <c:pt idx="12">
                  <c:v>25107843.960000001</c:v>
                </c:pt>
                <c:pt idx="13">
                  <c:v>30679165.420000002</c:v>
                </c:pt>
                <c:pt idx="14">
                  <c:v>37463150.299999997</c:v>
                </c:pt>
                <c:pt idx="15">
                  <c:v>84243777.629999995</c:v>
                </c:pt>
                <c:pt idx="16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3-47DA-8965-9A053B991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909106624"/>
        <c:axId val="913965664"/>
      </c:barChart>
      <c:catAx>
        <c:axId val="90910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3965664"/>
        <c:crosses val="autoZero"/>
        <c:auto val="1"/>
        <c:lblAlgn val="ctr"/>
        <c:lblOffset val="100"/>
        <c:noMultiLvlLbl val="0"/>
      </c:catAx>
      <c:valAx>
        <c:axId val="91396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910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419099</xdr:colOff>
      <xdr:row>0</xdr:row>
      <xdr:rowOff>190499</xdr:rowOff>
    </xdr:from>
    <xdr:to>
      <xdr:col>16</xdr:col>
      <xdr:colOff>371475</xdr:colOff>
      <xdr:row>22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F84F06-9762-44AC-8227-8488A9CBE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3.92926921296" createdVersion="6" refreshedVersion="6" minRefreshableVersion="3" recordCount="17">
  <cacheSource type="worksheet">
    <worksheetSource ref="A1:C18" sheet="Planilha1"/>
  </cacheSource>
  <cacheFields count="3">
    <cacheField name="Secretaria" numFmtId="0">
      <sharedItems containsBlank="1" count="17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  <m/>
      </sharedItems>
    </cacheField>
    <cacheField name="Total de Gastos em Fevereiro/2026" numFmtId="0">
      <sharedItems containsSemiMixedTypes="0" containsString="0" containsNumber="1" minValue="0" maxValue="97415941.840000004"/>
    </cacheField>
    <cacheField name="Total de itens pagos" numFmtId="0">
      <sharedItems containsSemiMixedTypes="0" containsString="0" containsNumber="1" containsInteger="1" minValue="0" maxValue="115" count="13">
        <n v="1"/>
        <n v="21"/>
        <n v="16"/>
        <n v="13"/>
        <n v="88"/>
        <n v="23"/>
        <n v="25"/>
        <n v="15"/>
        <n v="115"/>
        <n v="22"/>
        <n v="14"/>
        <n v="24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x v="0"/>
    <n v="67673.06"/>
    <x v="0"/>
  </r>
  <r>
    <x v="1"/>
    <n v="3049447.7499999995"/>
    <x v="1"/>
  </r>
  <r>
    <x v="2"/>
    <n v="1182770.0299999998"/>
    <x v="2"/>
  </r>
  <r>
    <x v="3"/>
    <n v="8665883.370000001"/>
    <x v="2"/>
  </r>
  <r>
    <x v="4"/>
    <n v="1644914.53"/>
    <x v="2"/>
  </r>
  <r>
    <x v="5"/>
    <n v="2361341.12"/>
    <x v="3"/>
  </r>
  <r>
    <x v="6"/>
    <n v="97415941.840000004"/>
    <x v="4"/>
  </r>
  <r>
    <x v="7"/>
    <n v="5975771.5599999996"/>
    <x v="5"/>
  </r>
  <r>
    <x v="8"/>
    <n v="8654354.950000003"/>
    <x v="6"/>
  </r>
  <r>
    <x v="9"/>
    <n v="25107843.960000001"/>
    <x v="7"/>
  </r>
  <r>
    <x v="10"/>
    <n v="84243777.629999995"/>
    <x v="8"/>
  </r>
  <r>
    <x v="11"/>
    <n v="30679165.420000002"/>
    <x v="9"/>
  </r>
  <r>
    <x v="12"/>
    <n v="474178.14999999997"/>
    <x v="10"/>
  </r>
  <r>
    <x v="13"/>
    <n v="5438913.9299999978"/>
    <x v="1"/>
  </r>
  <r>
    <x v="14"/>
    <n v="37463150.299999997"/>
    <x v="11"/>
  </r>
  <r>
    <x v="15"/>
    <n v="924217.23"/>
    <x v="3"/>
  </r>
  <r>
    <x v="16"/>
    <n v="0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21" firstHeaderRow="1" firstDataRow="1" firstDataCol="1" rowPageCount="1" colPageCount="1"/>
  <pivotFields count="3">
    <pivotField axis="axisRow" showAll="0" sortType="ascending">
      <items count="18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Page" showAll="0">
      <items count="14">
        <item x="12"/>
        <item x="0"/>
        <item x="3"/>
        <item x="10"/>
        <item x="7"/>
        <item x="2"/>
        <item x="1"/>
        <item x="9"/>
        <item x="5"/>
        <item x="11"/>
        <item x="6"/>
        <item x="4"/>
        <item x="8"/>
        <item t="default"/>
      </items>
    </pivotField>
  </pivotFields>
  <rowFields count="1">
    <field x="0"/>
  </rowFields>
  <rowItems count="18">
    <i>
      <x v="16"/>
    </i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pageFields count="1">
    <pageField fld="2" hier="-1"/>
  </pageFields>
  <dataFields count="1">
    <dataField name="Soma de Total de Gastos em Fevereiro/2026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K1048576" totalsRowShown="0">
  <autoFilter ref="A1:K1048576"/>
  <tableColumns count="11">
    <tableColumn id="1" name="Ano"/>
    <tableColumn id="2" name="Mês"/>
    <tableColumn id="3" name="Classificação orçamentária"/>
    <tableColumn id="4" name="Secretaria"/>
    <tableColumn id="5" name="Função"/>
    <tableColumn id="6" name="Subfunção"/>
    <tableColumn id="7" name="Natureza da despesa"/>
    <tableColumn id="8" name="Fonte de recurso"/>
    <tableColumn id="9" name="Empenhado (R$)"/>
    <tableColumn id="10" name="Liquidado  (R$)"/>
    <tableColumn id="11" name="Pago  (R$)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5" name="Tabela5" displayName="Tabela5" ref="B1:C18" totalsRowShown="0">
  <autoFilter ref="B1:C18"/>
  <tableColumns count="2">
    <tableColumn id="1" name="Total de Gastos em Fevereiro/2026" dataDxfId="1">
      <calculatedColumnFormula>SUMIF(Tabela1[[#All],[Secretaria]],Planilha1!A2,Tabela1[[#All],[Pago  (R$)]])</calculatedColumnFormula>
    </tableColumn>
    <tableColumn id="2" name="Total de itens pagos" dataDxfId="0">
      <calculatedColumnFormula>COUNTIF(Tabela1[[#All],[Secretaria]],Planilha1!A2)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workbookViewId="0">
      <selection activeCell="E12" sqref="E12"/>
    </sheetView>
  </sheetViews>
  <sheetFormatPr defaultRowHeight="15" x14ac:dyDescent="0.25"/>
  <cols>
    <col min="3" max="3" width="40.85546875" bestFit="1" customWidth="1"/>
    <col min="4" max="4" width="57.42578125" bestFit="1" customWidth="1"/>
    <col min="5" max="5" width="23" bestFit="1" customWidth="1"/>
    <col min="6" max="6" width="53.28515625" bestFit="1" customWidth="1"/>
    <col min="7" max="7" width="74.140625" bestFit="1" customWidth="1"/>
    <col min="8" max="8" width="86" bestFit="1" customWidth="1"/>
    <col min="9" max="9" width="17.7109375" customWidth="1"/>
    <col min="10" max="10" width="16.28515625" customWidth="1"/>
    <col min="11" max="11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>
        <v>540</v>
      </c>
      <c r="J5">
        <v>540</v>
      </c>
      <c r="K5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>
        <v>0</v>
      </c>
      <c r="J9">
        <v>133.6</v>
      </c>
      <c r="K9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>
        <v>0</v>
      </c>
      <c r="J15" s="1">
        <v>1037297.6</v>
      </c>
      <c r="K15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>
        <v>0</v>
      </c>
      <c r="K22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>
        <v>718.4</v>
      </c>
      <c r="K23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>
        <v>250.5</v>
      </c>
      <c r="K26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>
        <v>0</v>
      </c>
      <c r="J27">
        <v>292.25</v>
      </c>
      <c r="K27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>
        <v>314.75</v>
      </c>
      <c r="J28">
        <v>41.75</v>
      </c>
      <c r="K28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>
        <v>523.88</v>
      </c>
      <c r="J32">
        <v>523.88</v>
      </c>
      <c r="K32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>
        <v>585</v>
      </c>
      <c r="J35" s="1">
        <v>117035.82</v>
      </c>
      <c r="K35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>
        <v>444.24</v>
      </c>
      <c r="J38">
        <v>444.24</v>
      </c>
      <c r="K38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>
        <v>0</v>
      </c>
      <c r="K39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>
        <v>0</v>
      </c>
      <c r="J49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>
        <v>0</v>
      </c>
      <c r="J52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>
        <v>723.55</v>
      </c>
      <c r="J55">
        <v>0</v>
      </c>
      <c r="K55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>
        <v>0</v>
      </c>
      <c r="K58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>
        <v>484.3</v>
      </c>
      <c r="K60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>
        <v>900</v>
      </c>
      <c r="J63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>
        <v>0</v>
      </c>
      <c r="J65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>
        <v>0</v>
      </c>
      <c r="K66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>
        <v>0</v>
      </c>
      <c r="K67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>
        <v>0</v>
      </c>
      <c r="K69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>
        <v>0</v>
      </c>
      <c r="K70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>
        <v>87.9</v>
      </c>
      <c r="J71">
        <v>87.9</v>
      </c>
      <c r="K7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>
        <v>409.15</v>
      </c>
      <c r="K73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>
        <v>0</v>
      </c>
      <c r="K77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>
        <v>0</v>
      </c>
      <c r="J8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>
        <v>0</v>
      </c>
      <c r="K82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>
        <v>0</v>
      </c>
      <c r="K83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>
        <v>0</v>
      </c>
      <c r="J84" s="1">
        <v>34255</v>
      </c>
      <c r="K84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>
        <v>0</v>
      </c>
      <c r="K90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>
        <v>449.6</v>
      </c>
      <c r="J95">
        <v>449.6</v>
      </c>
      <c r="K95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>
        <v>0</v>
      </c>
      <c r="K105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>
        <v>0</v>
      </c>
      <c r="K109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>
        <v>0</v>
      </c>
      <c r="K112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>
        <v>0</v>
      </c>
      <c r="J118">
        <v>287.5</v>
      </c>
      <c r="K118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>
        <v>0</v>
      </c>
      <c r="K124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>
        <v>0</v>
      </c>
      <c r="K127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>
        <v>972</v>
      </c>
      <c r="J129">
        <v>972</v>
      </c>
      <c r="K129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>
        <v>0</v>
      </c>
      <c r="J135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>
        <v>0</v>
      </c>
      <c r="J139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>
        <v>0</v>
      </c>
      <c r="J143">
        <v>969.79</v>
      </c>
      <c r="K143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>
        <v>0</v>
      </c>
      <c r="J144" s="1">
        <v>31302.12</v>
      </c>
      <c r="K144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>
        <v>640.88</v>
      </c>
      <c r="J160">
        <v>640.88</v>
      </c>
      <c r="K160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>
        <v>440.23</v>
      </c>
      <c r="J162">
        <v>440.23</v>
      </c>
      <c r="K162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>
        <v>0</v>
      </c>
      <c r="J179" s="1">
        <v>2397.5</v>
      </c>
      <c r="K179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>
        <v>0</v>
      </c>
      <c r="K188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>
        <v>0</v>
      </c>
      <c r="K190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>
        <v>0</v>
      </c>
      <c r="J192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>
        <v>0</v>
      </c>
      <c r="K198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>
        <v>0</v>
      </c>
      <c r="J202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>
        <v>0</v>
      </c>
      <c r="J212" s="1">
        <v>76285.240000000005</v>
      </c>
      <c r="K212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>
        <v>0</v>
      </c>
      <c r="J223">
        <v>0</v>
      </c>
      <c r="K223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>
        <v>0</v>
      </c>
      <c r="K228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>
        <v>0</v>
      </c>
      <c r="J247" s="1">
        <v>8791.25</v>
      </c>
      <c r="K247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>
        <v>0</v>
      </c>
      <c r="J260" s="1">
        <v>17938.669999999998</v>
      </c>
      <c r="K260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>
        <v>0</v>
      </c>
      <c r="J261" s="1">
        <v>15172.5</v>
      </c>
      <c r="K26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>
        <v>900</v>
      </c>
      <c r="J263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>
        <v>0</v>
      </c>
      <c r="J267" s="1">
        <v>3984</v>
      </c>
      <c r="K267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>
        <v>0</v>
      </c>
      <c r="J273" s="1">
        <v>7500</v>
      </c>
      <c r="K273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>
        <v>0</v>
      </c>
      <c r="J276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>
        <v>0</v>
      </c>
      <c r="J285" s="1">
        <v>35967.160000000003</v>
      </c>
      <c r="K285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>
        <v>0</v>
      </c>
      <c r="J286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>
        <v>0</v>
      </c>
      <c r="J287" s="1">
        <v>76800</v>
      </c>
      <c r="K287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>
        <v>0</v>
      </c>
      <c r="K288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>
        <v>0</v>
      </c>
      <c r="K289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>
        <v>0</v>
      </c>
      <c r="K290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>
        <v>0</v>
      </c>
      <c r="J29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>
        <v>0</v>
      </c>
      <c r="J308" s="1">
        <v>373350</v>
      </c>
      <c r="K308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>
        <v>0</v>
      </c>
      <c r="K319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>
        <v>0</v>
      </c>
      <c r="J320" s="1">
        <v>435129.61</v>
      </c>
      <c r="K320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>
        <v>0</v>
      </c>
      <c r="K322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>
        <v>313.92</v>
      </c>
      <c r="K323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>
        <v>0</v>
      </c>
      <c r="J33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>
        <v>0</v>
      </c>
      <c r="K342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>
        <v>0</v>
      </c>
      <c r="K343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>
        <v>0</v>
      </c>
      <c r="J352" s="1">
        <v>364844.79999999999</v>
      </c>
      <c r="K352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>
        <v>0</v>
      </c>
      <c r="J353">
        <v>0</v>
      </c>
      <c r="K353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 s="1">
        <v>1487.4</v>
      </c>
      <c r="K354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>
        <v>0</v>
      </c>
      <c r="J363" s="1">
        <v>343010.84</v>
      </c>
      <c r="K363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>
        <v>0</v>
      </c>
      <c r="J365">
        <v>0</v>
      </c>
      <c r="K365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>
        <v>0</v>
      </c>
      <c r="K37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>
        <v>0</v>
      </c>
      <c r="K374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>
        <v>-66.8</v>
      </c>
      <c r="J375">
        <v>330</v>
      </c>
      <c r="K375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>
        <v>0</v>
      </c>
      <c r="K376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>
        <v>532.76</v>
      </c>
      <c r="J377">
        <v>0</v>
      </c>
      <c r="K377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>
        <v>0</v>
      </c>
      <c r="J379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>
        <v>0</v>
      </c>
      <c r="J380" s="1">
        <v>4552.9799999999996</v>
      </c>
      <c r="K380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>
        <v>0</v>
      </c>
      <c r="K385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>
        <v>0</v>
      </c>
      <c r="J389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>
        <v>0</v>
      </c>
      <c r="J390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>
        <v>0</v>
      </c>
      <c r="J391">
        <v>0</v>
      </c>
      <c r="K39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>
        <v>0</v>
      </c>
      <c r="J396">
        <v>504</v>
      </c>
      <c r="K396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>
        <v>0</v>
      </c>
      <c r="J405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>
        <v>0</v>
      </c>
      <c r="K418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>
        <v>979.7</v>
      </c>
      <c r="J426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>
        <v>101.5</v>
      </c>
      <c r="J433">
        <v>0</v>
      </c>
      <c r="K433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>
        <v>0</v>
      </c>
      <c r="J439">
        <v>217.84</v>
      </c>
      <c r="K439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>
        <v>0</v>
      </c>
      <c r="J440">
        <v>0</v>
      </c>
      <c r="K440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>
        <v>0</v>
      </c>
      <c r="J442">
        <v>389.9</v>
      </c>
      <c r="K442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L32" sqref="L32"/>
    </sheetView>
  </sheetViews>
  <sheetFormatPr defaultRowHeight="15" x14ac:dyDescent="0.25"/>
  <cols>
    <col min="1" max="1" width="57.42578125" bestFit="1" customWidth="1"/>
    <col min="2" max="2" width="40.7109375" bestFit="1" customWidth="1"/>
  </cols>
  <sheetData>
    <row r="1" spans="1:2" x14ac:dyDescent="0.25">
      <c r="A1" s="6" t="s">
        <v>564</v>
      </c>
      <c r="B1" t="s">
        <v>569</v>
      </c>
    </row>
    <row r="3" spans="1:2" x14ac:dyDescent="0.25">
      <c r="A3" s="6" t="s">
        <v>565</v>
      </c>
      <c r="B3" t="s">
        <v>568</v>
      </c>
    </row>
    <row r="4" spans="1:2" x14ac:dyDescent="0.25">
      <c r="A4" s="7" t="s">
        <v>566</v>
      </c>
      <c r="B4" s="8">
        <v>0</v>
      </c>
    </row>
    <row r="5" spans="1:2" x14ac:dyDescent="0.25">
      <c r="A5" s="7" t="s">
        <v>12</v>
      </c>
      <c r="B5" s="8">
        <v>67673.06</v>
      </c>
    </row>
    <row r="6" spans="1:2" x14ac:dyDescent="0.25">
      <c r="A6" s="7" t="s">
        <v>464</v>
      </c>
      <c r="B6" s="8">
        <v>474178.14999999997</v>
      </c>
    </row>
    <row r="7" spans="1:2" x14ac:dyDescent="0.25">
      <c r="A7" s="7" t="s">
        <v>548</v>
      </c>
      <c r="B7" s="8">
        <v>924217.23</v>
      </c>
    </row>
    <row r="8" spans="1:2" x14ac:dyDescent="0.25">
      <c r="A8" s="7" t="s">
        <v>52</v>
      </c>
      <c r="B8" s="8">
        <v>1182770.0299999998</v>
      </c>
    </row>
    <row r="9" spans="1:2" x14ac:dyDescent="0.25">
      <c r="A9" s="7" t="s">
        <v>92</v>
      </c>
      <c r="B9" s="8">
        <v>1644914.53</v>
      </c>
    </row>
    <row r="10" spans="1:2" x14ac:dyDescent="0.25">
      <c r="A10" s="7" t="s">
        <v>115</v>
      </c>
      <c r="B10" s="8">
        <v>2361341.12</v>
      </c>
    </row>
    <row r="11" spans="1:2" x14ac:dyDescent="0.25">
      <c r="A11" s="7" t="s">
        <v>18</v>
      </c>
      <c r="B11" s="8">
        <v>3049447.7499999995</v>
      </c>
    </row>
    <row r="12" spans="1:2" x14ac:dyDescent="0.25">
      <c r="A12" s="7" t="s">
        <v>486</v>
      </c>
      <c r="B12" s="8">
        <v>5438913.9299999978</v>
      </c>
    </row>
    <row r="13" spans="1:2" x14ac:dyDescent="0.25">
      <c r="A13" s="7" t="s">
        <v>236</v>
      </c>
      <c r="B13" s="8">
        <v>5975771.5599999996</v>
      </c>
    </row>
    <row r="14" spans="1:2" x14ac:dyDescent="0.25">
      <c r="A14" s="7" t="s">
        <v>262</v>
      </c>
      <c r="B14" s="8">
        <v>8654354.950000003</v>
      </c>
    </row>
    <row r="15" spans="1:2" x14ac:dyDescent="0.25">
      <c r="A15" s="7" t="s">
        <v>74</v>
      </c>
      <c r="B15" s="8">
        <v>8665883.370000001</v>
      </c>
    </row>
    <row r="16" spans="1:2" x14ac:dyDescent="0.25">
      <c r="A16" s="7" t="s">
        <v>291</v>
      </c>
      <c r="B16" s="8">
        <v>25107843.960000001</v>
      </c>
    </row>
    <row r="17" spans="1:2" x14ac:dyDescent="0.25">
      <c r="A17" s="7" t="s">
        <v>438</v>
      </c>
      <c r="B17" s="8">
        <v>30679165.420000002</v>
      </c>
    </row>
    <row r="18" spans="1:2" x14ac:dyDescent="0.25">
      <c r="A18" s="7" t="s">
        <v>510</v>
      </c>
      <c r="B18" s="8">
        <v>37463150.299999997</v>
      </c>
    </row>
    <row r="19" spans="1:2" x14ac:dyDescent="0.25">
      <c r="A19" s="7" t="s">
        <v>310</v>
      </c>
      <c r="B19" s="8">
        <v>84243777.629999995</v>
      </c>
    </row>
    <row r="20" spans="1:2" x14ac:dyDescent="0.25">
      <c r="A20" s="7" t="s">
        <v>131</v>
      </c>
      <c r="B20" s="8">
        <v>97415941.840000004</v>
      </c>
    </row>
    <row r="21" spans="1:2" x14ac:dyDescent="0.25">
      <c r="A21" s="7" t="s">
        <v>567</v>
      </c>
      <c r="B21" s="8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sqref="A1:C18"/>
    </sheetView>
  </sheetViews>
  <sheetFormatPr defaultRowHeight="15" x14ac:dyDescent="0.25"/>
  <cols>
    <col min="1" max="1" width="57.42578125" bestFit="1" customWidth="1"/>
    <col min="2" max="2" width="32.28515625" bestFit="1" customWidth="1"/>
    <col min="3" max="3" width="18.85546875" bestFit="1" customWidth="1"/>
  </cols>
  <sheetData>
    <row r="1" spans="1:3" x14ac:dyDescent="0.25">
      <c r="A1" s="4" t="s">
        <v>3</v>
      </c>
      <c r="B1" t="s">
        <v>563</v>
      </c>
      <c r="C1" t="s">
        <v>564</v>
      </c>
    </row>
    <row r="2" spans="1:3" x14ac:dyDescent="0.25">
      <c r="A2" s="2" t="s">
        <v>12</v>
      </c>
      <c r="B2" s="5">
        <f>SUMIF(Tabela1[[#All],[Secretaria]],Planilha1!A2,Tabela1[[#All],[Pago  (R$)]])</f>
        <v>67673.06</v>
      </c>
      <c r="C2">
        <f>COUNTIF(Tabela1[[#All],[Secretaria]],Planilha1!A2)</f>
        <v>1</v>
      </c>
    </row>
    <row r="3" spans="1:3" x14ac:dyDescent="0.25">
      <c r="A3" s="3" t="s">
        <v>18</v>
      </c>
      <c r="B3" s="5">
        <f>SUMIF(Tabela1[[#All],[Secretaria]],Planilha1!A3,Tabela1[[#All],[Pago  (R$)]])</f>
        <v>3049447.7499999995</v>
      </c>
      <c r="C3">
        <f>COUNTIF(Tabela1[[#All],[Secretaria]],Planilha1!A3)</f>
        <v>21</v>
      </c>
    </row>
    <row r="4" spans="1:3" x14ac:dyDescent="0.25">
      <c r="A4" s="2" t="s">
        <v>52</v>
      </c>
      <c r="B4" s="5">
        <f>SUMIF(Tabela1[[#All],[Secretaria]],Planilha1!A4,Tabela1[[#All],[Pago  (R$)]])</f>
        <v>1182770.0299999998</v>
      </c>
      <c r="C4">
        <f>COUNTIF(Tabela1[[#All],[Secretaria]],Planilha1!A4)</f>
        <v>16</v>
      </c>
    </row>
    <row r="5" spans="1:3" x14ac:dyDescent="0.25">
      <c r="A5" s="2" t="s">
        <v>74</v>
      </c>
      <c r="B5" s="5">
        <f>SUMIF(Tabela1[[#All],[Secretaria]],Planilha1!A5,Tabela1[[#All],[Pago  (R$)]])</f>
        <v>8665883.370000001</v>
      </c>
      <c r="C5">
        <f>COUNTIF(Tabela1[[#All],[Secretaria]],Planilha1!A5)</f>
        <v>16</v>
      </c>
    </row>
    <row r="6" spans="1:3" x14ac:dyDescent="0.25">
      <c r="A6" s="2" t="s">
        <v>92</v>
      </c>
      <c r="B6" s="5">
        <f>SUMIF(Tabela1[[#All],[Secretaria]],Planilha1!A6,Tabela1[[#All],[Pago  (R$)]])</f>
        <v>1644914.53</v>
      </c>
      <c r="C6">
        <f>COUNTIF(Tabela1[[#All],[Secretaria]],Planilha1!A6)</f>
        <v>16</v>
      </c>
    </row>
    <row r="7" spans="1:3" x14ac:dyDescent="0.25">
      <c r="A7" s="2" t="s">
        <v>115</v>
      </c>
      <c r="B7" s="5">
        <f>SUMIF(Tabela1[[#All],[Secretaria]],Planilha1!A7,Tabela1[[#All],[Pago  (R$)]])</f>
        <v>2361341.12</v>
      </c>
      <c r="C7">
        <f>COUNTIF(Tabela1[[#All],[Secretaria]],Planilha1!A7)</f>
        <v>13</v>
      </c>
    </row>
    <row r="8" spans="1:3" x14ac:dyDescent="0.25">
      <c r="A8" s="3" t="s">
        <v>131</v>
      </c>
      <c r="B8" s="5">
        <f>SUMIF(Tabela1[[#All],[Secretaria]],Planilha1!A8,Tabela1[[#All],[Pago  (R$)]])</f>
        <v>97415941.840000004</v>
      </c>
      <c r="C8">
        <f>COUNTIF(Tabela1[[#All],[Secretaria]],Planilha1!A8)</f>
        <v>88</v>
      </c>
    </row>
    <row r="9" spans="1:3" x14ac:dyDescent="0.25">
      <c r="A9" s="3" t="s">
        <v>236</v>
      </c>
      <c r="B9" s="5">
        <f>SUMIF(Tabela1[[#All],[Secretaria]],Planilha1!A9,Tabela1[[#All],[Pago  (R$)]])</f>
        <v>5975771.5599999996</v>
      </c>
      <c r="C9">
        <f>COUNTIF(Tabela1[[#All],[Secretaria]],Planilha1!A9)</f>
        <v>23</v>
      </c>
    </row>
    <row r="10" spans="1:3" x14ac:dyDescent="0.25">
      <c r="A10" s="2" t="s">
        <v>262</v>
      </c>
      <c r="B10" s="5">
        <f>SUMIF(Tabela1[[#All],[Secretaria]],Planilha1!A10,Tabela1[[#All],[Pago  (R$)]])</f>
        <v>8654354.950000003</v>
      </c>
      <c r="C10">
        <f>COUNTIF(Tabela1[[#All],[Secretaria]],Planilha1!A10)</f>
        <v>25</v>
      </c>
    </row>
    <row r="11" spans="1:3" x14ac:dyDescent="0.25">
      <c r="A11" s="3" t="s">
        <v>291</v>
      </c>
      <c r="B11" s="5">
        <f>SUMIF(Tabela1[[#All],[Secretaria]],Planilha1!A11,Tabela1[[#All],[Pago  (R$)]])</f>
        <v>25107843.960000001</v>
      </c>
      <c r="C11">
        <f>COUNTIF(Tabela1[[#All],[Secretaria]],Planilha1!A11)</f>
        <v>15</v>
      </c>
    </row>
    <row r="12" spans="1:3" x14ac:dyDescent="0.25">
      <c r="A12" s="2" t="s">
        <v>310</v>
      </c>
      <c r="B12" s="5">
        <f>SUMIF(Tabela1[[#All],[Secretaria]],Planilha1!A12,Tabela1[[#All],[Pago  (R$)]])</f>
        <v>84243777.629999995</v>
      </c>
      <c r="C12">
        <f>COUNTIF(Tabela1[[#All],[Secretaria]],Planilha1!A12)</f>
        <v>115</v>
      </c>
    </row>
    <row r="13" spans="1:3" x14ac:dyDescent="0.25">
      <c r="A13" s="3" t="s">
        <v>438</v>
      </c>
      <c r="B13" s="5">
        <f>SUMIF(Tabela1[[#All],[Secretaria]],Planilha1!A13,Tabela1[[#All],[Pago  (R$)]])</f>
        <v>30679165.420000002</v>
      </c>
      <c r="C13">
        <f>COUNTIF(Tabela1[[#All],[Secretaria]],Planilha1!A13)</f>
        <v>22</v>
      </c>
    </row>
    <row r="14" spans="1:3" x14ac:dyDescent="0.25">
      <c r="A14" s="3" t="s">
        <v>464</v>
      </c>
      <c r="B14" s="5">
        <f>SUMIF(Tabela1[[#All],[Secretaria]],Planilha1!A14,Tabela1[[#All],[Pago  (R$)]])</f>
        <v>474178.14999999997</v>
      </c>
      <c r="C14">
        <f>COUNTIF(Tabela1[[#All],[Secretaria]],Planilha1!A14)</f>
        <v>14</v>
      </c>
    </row>
    <row r="15" spans="1:3" x14ac:dyDescent="0.25">
      <c r="A15" s="3" t="s">
        <v>486</v>
      </c>
      <c r="B15" s="5">
        <f>SUMIF(Tabela1[[#All],[Secretaria]],Planilha1!A15,Tabela1[[#All],[Pago  (R$)]])</f>
        <v>5438913.9299999978</v>
      </c>
      <c r="C15">
        <f>COUNTIF(Tabela1[[#All],[Secretaria]],Planilha1!A15)</f>
        <v>21</v>
      </c>
    </row>
    <row r="16" spans="1:3" x14ac:dyDescent="0.25">
      <c r="A16" s="2" t="s">
        <v>510</v>
      </c>
      <c r="B16" s="5">
        <f>SUMIF(Tabela1[[#All],[Secretaria]],Planilha1!A16,Tabela1[[#All],[Pago  (R$)]])</f>
        <v>37463150.299999997</v>
      </c>
      <c r="C16">
        <f>COUNTIF(Tabela1[[#All],[Secretaria]],Planilha1!A16)</f>
        <v>24</v>
      </c>
    </row>
    <row r="17" spans="1:3" x14ac:dyDescent="0.25">
      <c r="A17" s="2" t="s">
        <v>548</v>
      </c>
      <c r="B17" s="5">
        <f>SUMIF(Tabela1[[#All],[Secretaria]],Planilha1!A17,Tabela1[[#All],[Pago  (R$)]])</f>
        <v>924217.23</v>
      </c>
      <c r="C17">
        <f>COUNTIF(Tabela1[[#All],[Secretaria]],Planilha1!A17)</f>
        <v>13</v>
      </c>
    </row>
    <row r="18" spans="1:3" x14ac:dyDescent="0.25">
      <c r="A18" s="3"/>
      <c r="B18">
        <f>SUMIF(Tabela1[[#All],[Secretaria]],Planilha1!A18,Tabela1[[#All],[Pago  (R$)]])</f>
        <v>0</v>
      </c>
      <c r="C18">
        <f>COUNTIF(Tabela1[[#All],[Secretaria]],Planilha1!A18)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2026-03-13T00:46:20Z</dcterms:created>
  <dcterms:modified xsi:type="dcterms:W3CDTF">2026-03-13T01:35:51Z</dcterms:modified>
</cp:coreProperties>
</file>